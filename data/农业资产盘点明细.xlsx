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农业资产盘点明细" sheetId="1" r:id="rId1"/>
    <sheet name=" 土地盘点表" sheetId="2" r:id="rId2"/>
    <sheet name=" 重庆酉阳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tc={74E5DB74-8D77-4954-A6E5-EE09361D518F}</author>
  </authors>
  <commentList>
    <comment ref="W176" authorId="0">
      <text>
        <r>
          <rPr>
            <sz val="10"/>
            <rFont val="宋体"/>
            <charset val="134"/>
          </rPr>
          <t>合同号应该是CSYXG-T-129?</t>
        </r>
      </text>
    </comment>
  </commentList>
</comments>
</file>

<file path=xl/sharedStrings.xml><?xml version="1.0" encoding="utf-8"?>
<sst xmlns="http://schemas.openxmlformats.org/spreadsheetml/2006/main" count="13804" uniqueCount="2247">
  <si>
    <t>省</t>
  </si>
  <si>
    <t>市</t>
  </si>
  <si>
    <t>县</t>
  </si>
  <si>
    <t>镇</t>
  </si>
  <si>
    <t>村</t>
  </si>
  <si>
    <t>公司名称</t>
  </si>
  <si>
    <t>基地编码</t>
  </si>
  <si>
    <t>基地名称</t>
  </si>
  <si>
    <t>基地负责人工号</t>
  </si>
  <si>
    <t>基地负责人</t>
  </si>
  <si>
    <t>基地联系方式</t>
  </si>
  <si>
    <t>区域编码</t>
  </si>
  <si>
    <t>区域名称(旧)</t>
  </si>
  <si>
    <t>区域名称</t>
  </si>
  <si>
    <t>区域负责人工号</t>
  </si>
  <si>
    <t>区域负责人</t>
  </si>
  <si>
    <t>区域联系方式</t>
  </si>
  <si>
    <t>片区编码</t>
  </si>
  <si>
    <t>片区名称</t>
  </si>
  <si>
    <t>片区负责人工号</t>
  </si>
  <si>
    <t>片区负责人</t>
  </si>
  <si>
    <t>片区联系方式</t>
  </si>
  <si>
    <t>地块编码</t>
  </si>
  <si>
    <t>地块名称</t>
  </si>
  <si>
    <t>子地块编码</t>
  </si>
  <si>
    <t>子地块名称</t>
  </si>
  <si>
    <t>合同面积</t>
  </si>
  <si>
    <t>测绘面积</t>
  </si>
  <si>
    <t>种植面积</t>
  </si>
  <si>
    <t>备注</t>
  </si>
  <si>
    <t>合同编号</t>
  </si>
  <si>
    <t>OA合同编号</t>
  </si>
  <si>
    <t>土地位置</t>
  </si>
  <si>
    <t>合同类型</t>
  </si>
  <si>
    <t>签约日期</t>
  </si>
  <si>
    <t>到期日期</t>
  </si>
  <si>
    <t>集团签约公司</t>
  </si>
  <si>
    <t>签约对方</t>
  </si>
  <si>
    <t>总金额(元/年)</t>
  </si>
  <si>
    <t>浙江省</t>
  </si>
  <si>
    <t>衢州市</t>
  </si>
  <si>
    <t>常山县</t>
  </si>
  <si>
    <t>辉埠镇</t>
  </si>
  <si>
    <t>浙江柚香谷投资管理有限公司</t>
  </si>
  <si>
    <t>CS0</t>
  </si>
  <si>
    <t>浙江常山</t>
  </si>
  <si>
    <t>廖端鹿</t>
  </si>
  <si>
    <t>CS000</t>
  </si>
  <si>
    <t>东区</t>
  </si>
  <si>
    <t>胡昌旺</t>
  </si>
  <si>
    <t>CS00000</t>
  </si>
  <si>
    <t>东乡</t>
  </si>
  <si>
    <t>徐作贤</t>
  </si>
  <si>
    <t>CS0000000</t>
  </si>
  <si>
    <t>下辉埠</t>
  </si>
  <si>
    <t>CS000000000</t>
  </si>
  <si>
    <t>077-下辉埠</t>
  </si>
  <si>
    <t>CSYXG-T-077</t>
  </si>
  <si>
    <t>CS0000001</t>
  </si>
  <si>
    <t>东乡村铁路边</t>
  </si>
  <si>
    <t>CS000000100</t>
  </si>
  <si>
    <t>051-东乡村铁路边</t>
  </si>
  <si>
    <t>CSYXG-T-051</t>
  </si>
  <si>
    <t>CS0000002</t>
  </si>
  <si>
    <t>牛车</t>
  </si>
  <si>
    <t>CS000000200</t>
  </si>
  <si>
    <t>109-牛车</t>
  </si>
  <si>
    <t>CSYXG-T-109</t>
  </si>
  <si>
    <t>CS0000003</t>
  </si>
  <si>
    <t>白浦淤</t>
  </si>
  <si>
    <t>CS000000300</t>
  </si>
  <si>
    <t>109-白浦淤</t>
  </si>
  <si>
    <t>CS00001</t>
  </si>
  <si>
    <t>双溪口1</t>
  </si>
  <si>
    <t>史国平</t>
  </si>
  <si>
    <t>CS0000100</t>
  </si>
  <si>
    <t>东鲁</t>
  </si>
  <si>
    <t>CS000010000</t>
  </si>
  <si>
    <t>077-东鲁</t>
  </si>
  <si>
    <t>CS0000101</t>
  </si>
  <si>
    <t>五爱</t>
  </si>
  <si>
    <t>CS000010100</t>
  </si>
  <si>
    <t>077-五爱</t>
  </si>
  <si>
    <t>CS0000102</t>
  </si>
  <si>
    <t>后社</t>
  </si>
  <si>
    <t>CS000010200</t>
  </si>
  <si>
    <t>077-后社</t>
  </si>
  <si>
    <t>CS0000103</t>
  </si>
  <si>
    <t>夏家</t>
  </si>
  <si>
    <t>CS000010300</t>
  </si>
  <si>
    <t>077-夏家</t>
  </si>
  <si>
    <t>CS0000104</t>
  </si>
  <si>
    <t>石灰山底</t>
  </si>
  <si>
    <t>CS000010400</t>
  </si>
  <si>
    <t>077-石灰山底</t>
  </si>
  <si>
    <t>CS00002</t>
  </si>
  <si>
    <t>双溪口2</t>
  </si>
  <si>
    <t>周红记</t>
  </si>
  <si>
    <t>CS0000200</t>
  </si>
  <si>
    <t>上宋畈</t>
  </si>
  <si>
    <t>CS000020000</t>
  </si>
  <si>
    <t>077-上宋畈</t>
  </si>
  <si>
    <t>CS0000201</t>
  </si>
  <si>
    <t>下宋畈</t>
  </si>
  <si>
    <t>CS000020100</t>
  </si>
  <si>
    <t>077-下宋畈</t>
  </si>
  <si>
    <t>CS0000202</t>
  </si>
  <si>
    <t>CS000020200</t>
  </si>
  <si>
    <t>CS0000203</t>
  </si>
  <si>
    <t>米屯坝</t>
  </si>
  <si>
    <t>CS000020300</t>
  </si>
  <si>
    <t>077-米屯坝</t>
  </si>
  <si>
    <t>CS0000204</t>
  </si>
  <si>
    <t>蓬桥湾</t>
  </si>
  <si>
    <t>CS000020400</t>
  </si>
  <si>
    <t>077-蓬桥湾</t>
  </si>
  <si>
    <t>CS00003</t>
  </si>
  <si>
    <t>大埂</t>
  </si>
  <si>
    <t>吴志兵</t>
  </si>
  <si>
    <t>CS0000300</t>
  </si>
  <si>
    <t>前蓬</t>
  </si>
  <si>
    <t>CS000030000</t>
  </si>
  <si>
    <t>077-前蓬</t>
  </si>
  <si>
    <t>CS0000301</t>
  </si>
  <si>
    <t>CS000030100</t>
  </si>
  <si>
    <t>077-大埂</t>
  </si>
  <si>
    <t>CS0000302</t>
  </si>
  <si>
    <t>大埂西坞</t>
  </si>
  <si>
    <t>CS000030200</t>
  </si>
  <si>
    <t>刘建军-大埂西坞</t>
  </si>
  <si>
    <t>签约中-刘建军</t>
  </si>
  <si>
    <t>CS0000303</t>
  </si>
  <si>
    <t>大更</t>
  </si>
  <si>
    <t>CS000030300</t>
  </si>
  <si>
    <t>077-大更</t>
  </si>
  <si>
    <t>CS0000304</t>
  </si>
  <si>
    <t>昄头</t>
  </si>
  <si>
    <t>CS000030400</t>
  </si>
  <si>
    <t>077-昄头</t>
  </si>
  <si>
    <t>CS0000305</t>
  </si>
  <si>
    <t>汪家</t>
  </si>
  <si>
    <t>CS000030500</t>
  </si>
  <si>
    <t>077-汪家</t>
  </si>
  <si>
    <t>CS0000306</t>
  </si>
  <si>
    <t>灵湖</t>
  </si>
  <si>
    <t>CS000030600</t>
  </si>
  <si>
    <t>077-灵湖</t>
  </si>
  <si>
    <t>CS0000307</t>
  </si>
  <si>
    <t>畈头</t>
  </si>
  <si>
    <t>CS000030700</t>
  </si>
  <si>
    <t>077-畈头</t>
  </si>
  <si>
    <t>CS0000308</t>
  </si>
  <si>
    <t>石姆岭</t>
  </si>
  <si>
    <t>CS000030800</t>
  </si>
  <si>
    <t>077-石姆岭</t>
  </si>
  <si>
    <t>CS0000309</t>
  </si>
  <si>
    <t>石母岭</t>
  </si>
  <si>
    <t>CS000030900</t>
  </si>
  <si>
    <t>077-石母岭</t>
  </si>
  <si>
    <t>CS000030A</t>
  </si>
  <si>
    <t>竹里坑</t>
  </si>
  <si>
    <t>CS000030A00</t>
  </si>
  <si>
    <t>077-竹里坑</t>
  </si>
  <si>
    <t>CS000030B</t>
  </si>
  <si>
    <t>西坞</t>
  </si>
  <si>
    <t>CS000030B00</t>
  </si>
  <si>
    <t>080-西坞</t>
  </si>
  <si>
    <t>CSYXG-T-080</t>
  </si>
  <si>
    <t>CS000030C</t>
  </si>
  <si>
    <t>鸭坞</t>
  </si>
  <si>
    <t>CS000030C00</t>
  </si>
  <si>
    <t>077-鸭坞</t>
  </si>
  <si>
    <t>东案乡</t>
  </si>
  <si>
    <t>CS00004</t>
  </si>
  <si>
    <t>开向岭</t>
  </si>
  <si>
    <t>程建勇</t>
  </si>
  <si>
    <t>CS0000400</t>
  </si>
  <si>
    <t>弄坞村</t>
  </si>
  <si>
    <t>CS000040000</t>
  </si>
  <si>
    <t>086-弄坞村</t>
  </si>
  <si>
    <t>CSYXG-T-086</t>
  </si>
  <si>
    <t>CS0000401</t>
  </si>
  <si>
    <t>程建华</t>
  </si>
  <si>
    <t>CS000040100</t>
  </si>
  <si>
    <t>096-程建华</t>
  </si>
  <si>
    <t>CSYXG-T-096</t>
  </si>
  <si>
    <t>CS00005</t>
  </si>
  <si>
    <t>彭川</t>
  </si>
  <si>
    <t>王文杰</t>
  </si>
  <si>
    <t>CS0000500</t>
  </si>
  <si>
    <t>CS000050000</t>
  </si>
  <si>
    <t>077-彭川</t>
  </si>
  <si>
    <t>CS0000501</t>
  </si>
  <si>
    <t>徐家</t>
  </si>
  <si>
    <t>CS000050100</t>
  </si>
  <si>
    <t>077-徐家</t>
  </si>
  <si>
    <t>CS0000502</t>
  </si>
  <si>
    <t>江村坪</t>
  </si>
  <si>
    <t>CS000050200</t>
  </si>
  <si>
    <t>077-江村坪</t>
  </si>
  <si>
    <t>CS0000503</t>
  </si>
  <si>
    <t>江村平</t>
  </si>
  <si>
    <t>CS000050300</t>
  </si>
  <si>
    <t>077-江村平</t>
  </si>
  <si>
    <t>CS0000504</t>
  </si>
  <si>
    <t>洪畈</t>
  </si>
  <si>
    <t>CS000050400</t>
  </si>
  <si>
    <t>077-洪畈</t>
  </si>
  <si>
    <t>CS0000505</t>
  </si>
  <si>
    <t>石岩村</t>
  </si>
  <si>
    <t>CS000050500</t>
  </si>
  <si>
    <t>077-石岩村</t>
  </si>
  <si>
    <t>CS0000506</t>
  </si>
  <si>
    <t>赵公岩</t>
  </si>
  <si>
    <t>CS000050600</t>
  </si>
  <si>
    <t>077-赵公岩</t>
  </si>
  <si>
    <t>CS000050601</t>
  </si>
  <si>
    <t>094-赵公岩</t>
  </si>
  <si>
    <t>CSYXG-T-094</t>
  </si>
  <si>
    <t>紫港街道</t>
  </si>
  <si>
    <t>CS00006</t>
  </si>
  <si>
    <t>狮东</t>
  </si>
  <si>
    <t>邓志和</t>
  </si>
  <si>
    <t>CS0000600</t>
  </si>
  <si>
    <t>半图坞</t>
  </si>
  <si>
    <t>CS000060000</t>
  </si>
  <si>
    <t>035-半图坞</t>
  </si>
  <si>
    <t>CSYXG-T-035</t>
  </si>
  <si>
    <t>CS0000601</t>
  </si>
  <si>
    <t>大莲塘</t>
  </si>
  <si>
    <t>CS000060100</t>
  </si>
  <si>
    <t>009-大莲塘</t>
  </si>
  <si>
    <t>CSYXG-T-009</t>
  </si>
  <si>
    <t>CS000060101</t>
  </si>
  <si>
    <t>092-大莲塘</t>
  </si>
  <si>
    <t>CSYXG-T-092</t>
  </si>
  <si>
    <t>CS0000602</t>
  </si>
  <si>
    <t>小莲塘</t>
  </si>
  <si>
    <t>CS000060200</t>
  </si>
  <si>
    <t>009-小莲塘</t>
  </si>
  <si>
    <t>CS000060201</t>
  </si>
  <si>
    <t>036-小莲塘</t>
  </si>
  <si>
    <t>CSYXG-T-036</t>
  </si>
  <si>
    <t>CS0000603</t>
  </si>
  <si>
    <t>杨柳坞</t>
  </si>
  <si>
    <t>CS000060300</t>
  </si>
  <si>
    <t>009-杨柳坞</t>
  </si>
  <si>
    <t>CS000060301</t>
  </si>
  <si>
    <t>035-杨柳坞</t>
  </si>
  <si>
    <t>CS000060302</t>
  </si>
  <si>
    <t>088-杨柳坞</t>
  </si>
  <si>
    <t>CSYXG-T-088</t>
  </si>
  <si>
    <t>CS0000604</t>
  </si>
  <si>
    <t>特畈</t>
  </si>
  <si>
    <t>CS000060400</t>
  </si>
  <si>
    <t>特畈-特畈</t>
  </si>
  <si>
    <t>CS0000605</t>
  </si>
  <si>
    <t>直坞</t>
  </si>
  <si>
    <t>CS000060500</t>
  </si>
  <si>
    <t>053-直坞</t>
  </si>
  <si>
    <t>CSYXG-T-053</t>
  </si>
  <si>
    <t>CS0000606</t>
  </si>
  <si>
    <t>老坞门</t>
  </si>
  <si>
    <t>CS000060600</t>
  </si>
  <si>
    <t>035-老坞门</t>
  </si>
  <si>
    <t>CS0000607</t>
  </si>
  <si>
    <t>长区</t>
  </si>
  <si>
    <t>CS000060700</t>
  </si>
  <si>
    <t>009-长区</t>
  </si>
  <si>
    <t>CS000060701</t>
  </si>
  <si>
    <t>036-长区</t>
  </si>
  <si>
    <t>CS00007</t>
  </si>
  <si>
    <t>祠堂坑</t>
  </si>
  <si>
    <t>江土寿</t>
  </si>
  <si>
    <t>CS0000700</t>
  </si>
  <si>
    <t>前库村</t>
  </si>
  <si>
    <t>CS000070000</t>
  </si>
  <si>
    <t>089-前库村</t>
  </si>
  <si>
    <t>CSYXG-T-089</t>
  </si>
  <si>
    <t>CS0000701</t>
  </si>
  <si>
    <t>朝阳村</t>
  </si>
  <si>
    <t>CS000070100</t>
  </si>
  <si>
    <t>095-朝阳村</t>
  </si>
  <si>
    <t>CSYXG-T-095</t>
  </si>
  <si>
    <t>CS0000702</t>
  </si>
  <si>
    <t>田蓬村</t>
  </si>
  <si>
    <t>CS000070200</t>
  </si>
  <si>
    <t>090-田蓬村</t>
  </si>
  <si>
    <t>CSYXG-T-090</t>
  </si>
  <si>
    <t>CS00008</t>
  </si>
  <si>
    <t>路里坑</t>
  </si>
  <si>
    <t>徐茶仙</t>
  </si>
  <si>
    <t>CS0000800</t>
  </si>
  <si>
    <t>下蓬</t>
  </si>
  <si>
    <t>CS000080000</t>
  </si>
  <si>
    <t>077-下蓬</t>
  </si>
  <si>
    <t>CS0000801</t>
  </si>
  <si>
    <t>宋畈村</t>
  </si>
  <si>
    <t>CS000080100</t>
  </si>
  <si>
    <t>077-宋畈村</t>
  </si>
  <si>
    <t>CS0000802</t>
  </si>
  <si>
    <t>岩口</t>
  </si>
  <si>
    <t>CS000080200</t>
  </si>
  <si>
    <t>077-岩口</t>
  </si>
  <si>
    <t>CS0000803</t>
  </si>
  <si>
    <t>石岩</t>
  </si>
  <si>
    <t>CS000080300</t>
  </si>
  <si>
    <t>077-石岩</t>
  </si>
  <si>
    <t>CS0000804</t>
  </si>
  <si>
    <t>窑高</t>
  </si>
  <si>
    <t>CS000080400</t>
  </si>
  <si>
    <t>077-窑高</t>
  </si>
  <si>
    <t>金川街道</t>
  </si>
  <si>
    <t>CS001</t>
  </si>
  <si>
    <t>西一区</t>
  </si>
  <si>
    <t>严儒</t>
  </si>
  <si>
    <t>CS00100</t>
  </si>
  <si>
    <t>十五里</t>
  </si>
  <si>
    <t>丰建平</t>
  </si>
  <si>
    <t>CS0010000</t>
  </si>
  <si>
    <t>万福坳</t>
  </si>
  <si>
    <t>CS001000000</t>
  </si>
  <si>
    <t>015-万福坳</t>
  </si>
  <si>
    <t>CSYXG-T-015</t>
  </si>
  <si>
    <t>CS001000001</t>
  </si>
  <si>
    <t>025-万福坳</t>
  </si>
  <si>
    <t>CSYXG-T-025</t>
  </si>
  <si>
    <t>CS001000002</t>
  </si>
  <si>
    <t>026-万福坳</t>
  </si>
  <si>
    <t>CSYXG-T-026</t>
  </si>
  <si>
    <t>CS001000003</t>
  </si>
  <si>
    <t>027-万福坳</t>
  </si>
  <si>
    <t>CSYXG-T-027</t>
  </si>
  <si>
    <t>CS001000004</t>
  </si>
  <si>
    <t>028-万福坳</t>
  </si>
  <si>
    <t>CSYXG-T-028</t>
  </si>
  <si>
    <t>CS0010001</t>
  </si>
  <si>
    <t>板桥弄</t>
  </si>
  <si>
    <t>CS001000100</t>
  </si>
  <si>
    <t>008-板桥弄</t>
  </si>
  <si>
    <t>CSYXG-T-008</t>
  </si>
  <si>
    <t>CS001000101</t>
  </si>
  <si>
    <t>017-板桥弄</t>
  </si>
  <si>
    <t>CSYXG-T-017</t>
  </si>
  <si>
    <t>CS001000102</t>
  </si>
  <si>
    <t>019-板桥弄</t>
  </si>
  <si>
    <t>CSYXG-T-019</t>
  </si>
  <si>
    <t>CS001000103</t>
  </si>
  <si>
    <t>022-板桥弄</t>
  </si>
  <si>
    <t>CSYXG-T-022</t>
  </si>
  <si>
    <t>CS001000104</t>
  </si>
  <si>
    <t>113-板桥弄</t>
  </si>
  <si>
    <t>CSYXG-T-113</t>
  </si>
  <si>
    <t>CS001000105</t>
  </si>
  <si>
    <t>125-板桥弄</t>
  </si>
  <si>
    <t>CSYXG-T-125</t>
  </si>
  <si>
    <t>CS0010002</t>
  </si>
  <si>
    <t>洋金窠</t>
  </si>
  <si>
    <t>CS001000200</t>
  </si>
  <si>
    <t>008-洋金窠</t>
  </si>
  <si>
    <t>CS0010003</t>
  </si>
  <si>
    <t>葛坞</t>
  </si>
  <si>
    <t>CS001000300</t>
  </si>
  <si>
    <t>125-葛坞</t>
  </si>
  <si>
    <t>CS0010004</t>
  </si>
  <si>
    <t>葛坞山</t>
  </si>
  <si>
    <t>CS001000400</t>
  </si>
  <si>
    <t>125-葛坞山</t>
  </si>
  <si>
    <t>白石镇</t>
  </si>
  <si>
    <t>CS00101</t>
  </si>
  <si>
    <t>景区</t>
  </si>
  <si>
    <t>揭大明</t>
  </si>
  <si>
    <t>CS0010100</t>
  </si>
  <si>
    <t>张家弄水库</t>
  </si>
  <si>
    <t>CS001010000</t>
  </si>
  <si>
    <t>007-张家弄水库</t>
  </si>
  <si>
    <t>CSYXG-T-007</t>
  </si>
  <si>
    <t>CS0010101</t>
  </si>
  <si>
    <t>万家山</t>
  </si>
  <si>
    <t>CS001010100</t>
  </si>
  <si>
    <t>013-万家山</t>
  </si>
  <si>
    <t>CSYXG-T-013</t>
  </si>
  <si>
    <t>CS001010101</t>
  </si>
  <si>
    <t>014-万家山</t>
  </si>
  <si>
    <t>CSYXG-T-014</t>
  </si>
  <si>
    <t>CS001010102</t>
  </si>
  <si>
    <t>018-万家山</t>
  </si>
  <si>
    <t>CSYXG-T-018</t>
  </si>
  <si>
    <t>CS001010103</t>
  </si>
  <si>
    <t>044-万家山</t>
  </si>
  <si>
    <t>CSYXG-T-044</t>
  </si>
  <si>
    <t>CS001010104</t>
  </si>
  <si>
    <t>111-万家山</t>
  </si>
  <si>
    <t>CSYXG-T-111</t>
  </si>
  <si>
    <t>CS0010102</t>
  </si>
  <si>
    <t>下家头</t>
  </si>
  <si>
    <t>CS001010200</t>
  </si>
  <si>
    <t>108-下家头</t>
  </si>
  <si>
    <t>CSYXG-T-001-003-058-059-061-064-065-078-081-101-107-108</t>
  </si>
  <si>
    <t>CS0010103</t>
  </si>
  <si>
    <t>东弄</t>
  </si>
  <si>
    <t>CS001010300</t>
  </si>
  <si>
    <t>108-东弄</t>
  </si>
  <si>
    <t>CS001010301</t>
  </si>
  <si>
    <t>023-东弄</t>
  </si>
  <si>
    <t>CSYXG-T-023</t>
  </si>
  <si>
    <t>CS001010302</t>
  </si>
  <si>
    <t>112-东弄</t>
  </si>
  <si>
    <t>CSYXG-T-112</t>
  </si>
  <si>
    <t>CS0010104</t>
  </si>
  <si>
    <t>仓坞</t>
  </si>
  <si>
    <t>CS001010400</t>
  </si>
  <si>
    <t>108-仓坞</t>
  </si>
  <si>
    <t>CS001010401</t>
  </si>
  <si>
    <t>024-仓坞</t>
  </si>
  <si>
    <t>CSYXG-T-024</t>
  </si>
  <si>
    <t>CS001010402</t>
  </si>
  <si>
    <t>034-仓坞</t>
  </si>
  <si>
    <t>CSYXG-T-031-032-033-034</t>
  </si>
  <si>
    <t>CS0010105</t>
  </si>
  <si>
    <t>坝上</t>
  </si>
  <si>
    <t>CS001010500</t>
  </si>
  <si>
    <t>108-坝上</t>
  </si>
  <si>
    <t>CS0010106</t>
  </si>
  <si>
    <t>泥鳅坞</t>
  </si>
  <si>
    <t>CS001010600</t>
  </si>
  <si>
    <t>091-泥鳅坞</t>
  </si>
  <si>
    <t>CSYXG-T-091</t>
  </si>
  <si>
    <t>CS0010107</t>
  </si>
  <si>
    <t>火烧排</t>
  </si>
  <si>
    <t>CS001010700</t>
  </si>
  <si>
    <t>108-火烧排</t>
  </si>
  <si>
    <t>CS001010701</t>
  </si>
  <si>
    <t>004-火烧排</t>
  </si>
  <si>
    <t>CSYXG-T-004</t>
  </si>
  <si>
    <t>CS001010702</t>
  </si>
  <si>
    <t>016-火烧排</t>
  </si>
  <si>
    <t>CSYXG-T-016</t>
  </si>
  <si>
    <t>CS001010703</t>
  </si>
  <si>
    <t>046-火烧排</t>
  </si>
  <si>
    <t>CSYXG-T-046</t>
  </si>
  <si>
    <t>CS001010704</t>
  </si>
  <si>
    <t>066-火烧排</t>
  </si>
  <si>
    <t>CSYXG-T-066</t>
  </si>
  <si>
    <t>CS0010108</t>
  </si>
  <si>
    <t>狗屎亭</t>
  </si>
  <si>
    <t>CS001010800</t>
  </si>
  <si>
    <t>079-狗屎亭</t>
  </si>
  <si>
    <t>CSYXG-T-079</t>
  </si>
  <si>
    <t>CS0010109</t>
  </si>
  <si>
    <t>白塘</t>
  </si>
  <si>
    <t>CS001010900</t>
  </si>
  <si>
    <t>108-白塘</t>
  </si>
  <si>
    <t>CS001010901</t>
  </si>
  <si>
    <t>110-白塘</t>
  </si>
  <si>
    <t>CSYXG-T-110</t>
  </si>
  <si>
    <t>CS001010A</t>
  </si>
  <si>
    <t>陈坞</t>
  </si>
  <si>
    <t>CS001010A00</t>
  </si>
  <si>
    <t>029-陈坞</t>
  </si>
  <si>
    <t>CSYXG-T-029</t>
  </si>
  <si>
    <t>CS00103</t>
  </si>
  <si>
    <t>育苗中心</t>
  </si>
  <si>
    <t>苏有月</t>
  </si>
  <si>
    <t>CS0010300</t>
  </si>
  <si>
    <t>周家园</t>
  </si>
  <si>
    <t>CS001030000</t>
  </si>
  <si>
    <t>周家园-周家园</t>
  </si>
  <si>
    <t>CS00102</t>
  </si>
  <si>
    <t>草坪</t>
  </si>
  <si>
    <t>罗建信</t>
  </si>
  <si>
    <t>CS0010200</t>
  </si>
  <si>
    <t>CS001020000</t>
  </si>
  <si>
    <t>084-万家山</t>
  </si>
  <si>
    <t>CSYXG-T-002-055-063-069-084</t>
  </si>
  <si>
    <t>CS0010201</t>
  </si>
  <si>
    <t>CS001020100</t>
  </si>
  <si>
    <t>084-东弄</t>
  </si>
  <si>
    <t>CS0010202</t>
  </si>
  <si>
    <t>中方</t>
  </si>
  <si>
    <t>CS001020200</t>
  </si>
  <si>
    <t>084-中方</t>
  </si>
  <si>
    <t>CS0010203</t>
  </si>
  <si>
    <t>五头山角</t>
  </si>
  <si>
    <t>CS001020300</t>
  </si>
  <si>
    <t>084-五头山角</t>
  </si>
  <si>
    <t>CS0010204</t>
  </si>
  <si>
    <t>凉亭</t>
  </si>
  <si>
    <t>CS001020400</t>
  </si>
  <si>
    <t>084-凉亭</t>
  </si>
  <si>
    <t>CS0010205</t>
  </si>
  <si>
    <t>十亩头</t>
  </si>
  <si>
    <t>CS001020500</t>
  </si>
  <si>
    <t>084-十亩头</t>
  </si>
  <si>
    <t>CS0010206</t>
  </si>
  <si>
    <t>十头</t>
  </si>
  <si>
    <t>CS001020600</t>
  </si>
  <si>
    <t>084-十头</t>
  </si>
  <si>
    <t>CS0010207</t>
  </si>
  <si>
    <t>后弄</t>
  </si>
  <si>
    <t>CS001020700</t>
  </si>
  <si>
    <t>084-后弄</t>
  </si>
  <si>
    <t>CS0010208</t>
  </si>
  <si>
    <t>CS001020800</t>
  </si>
  <si>
    <t>084-周家园</t>
  </si>
  <si>
    <t>CS0010209</t>
  </si>
  <si>
    <t>坳背</t>
  </si>
  <si>
    <t>CS001020900</t>
  </si>
  <si>
    <t>084-坳背</t>
  </si>
  <si>
    <t>CS001020A</t>
  </si>
  <si>
    <t>塘湾</t>
  </si>
  <si>
    <t>CS001020A00</t>
  </si>
  <si>
    <t>084-塘湾</t>
  </si>
  <si>
    <t>CS001020B</t>
  </si>
  <si>
    <t>大坪</t>
  </si>
  <si>
    <t>CS001020B00</t>
  </si>
  <si>
    <t>084-大坪</t>
  </si>
  <si>
    <t>CS001020C</t>
  </si>
  <si>
    <t>大山科</t>
  </si>
  <si>
    <t>CS001020C00</t>
  </si>
  <si>
    <t>084-大山科</t>
  </si>
  <si>
    <t>CS001020D</t>
  </si>
  <si>
    <t>太古庙</t>
  </si>
  <si>
    <t>CS001020D00</t>
  </si>
  <si>
    <t>084-太古庙</t>
  </si>
  <si>
    <t>CS001020E</t>
  </si>
  <si>
    <t>安仔坝</t>
  </si>
  <si>
    <t>CS001020E00</t>
  </si>
  <si>
    <t>084-安仔坝</t>
  </si>
  <si>
    <t>CS001020F</t>
  </si>
  <si>
    <t>尖山底水库边</t>
  </si>
  <si>
    <t>CS001020F00</t>
  </si>
  <si>
    <t>084-尖山底水库边</t>
  </si>
  <si>
    <t>CS001020G</t>
  </si>
  <si>
    <t>应家蓬</t>
  </si>
  <si>
    <t>CS001020G00</t>
  </si>
  <si>
    <t>084-应家蓬</t>
  </si>
  <si>
    <t>CS001020H</t>
  </si>
  <si>
    <t>徐家坞</t>
  </si>
  <si>
    <t>CS001020H00</t>
  </si>
  <si>
    <t>084-徐家坞</t>
  </si>
  <si>
    <t>CS001020I</t>
  </si>
  <si>
    <t>总部大楼边</t>
  </si>
  <si>
    <t>CS001020I00</t>
  </si>
  <si>
    <t>084-总部大楼边</t>
  </si>
  <si>
    <t>CS001020J</t>
  </si>
  <si>
    <t>总部大楼边1</t>
  </si>
  <si>
    <t>CS001020J00</t>
  </si>
  <si>
    <t>084-总部大楼边1</t>
  </si>
  <si>
    <t>CS001020K</t>
  </si>
  <si>
    <t>总部大楼边2</t>
  </si>
  <si>
    <t>CS001020K00</t>
  </si>
  <si>
    <t>084-总部大楼边2</t>
  </si>
  <si>
    <t>CS001020L</t>
  </si>
  <si>
    <t>林塘</t>
  </si>
  <si>
    <t>CS001020L00</t>
  </si>
  <si>
    <t>084-林塘</t>
  </si>
  <si>
    <t>CS001020M</t>
  </si>
  <si>
    <t>枫树萍</t>
  </si>
  <si>
    <t>CS001020M00</t>
  </si>
  <si>
    <t>084-枫树萍</t>
  </si>
  <si>
    <t>CS001020N</t>
  </si>
  <si>
    <t>桐子坝</t>
  </si>
  <si>
    <t>CS001020N00</t>
  </si>
  <si>
    <t>084-桐子坝</t>
  </si>
  <si>
    <t>CS001020O</t>
  </si>
  <si>
    <t>楼梯层</t>
  </si>
  <si>
    <t>CS001020O00</t>
  </si>
  <si>
    <t>084-楼梯层</t>
  </si>
  <si>
    <t>CS001020P</t>
  </si>
  <si>
    <t>CS001020P00</t>
  </si>
  <si>
    <t>084-狗屎亭</t>
  </si>
  <si>
    <t>CS001020Q</t>
  </si>
  <si>
    <t>石塘</t>
  </si>
  <si>
    <t>CS001020Q00</t>
  </si>
  <si>
    <t>084-石塘</t>
  </si>
  <si>
    <t>CS001020R</t>
  </si>
  <si>
    <t>神仙坝</t>
  </si>
  <si>
    <t>CS001020R00</t>
  </si>
  <si>
    <t>084-神仙坝</t>
  </si>
  <si>
    <t>CS001020S</t>
  </si>
  <si>
    <t>羊坳</t>
  </si>
  <si>
    <t>CS001020S00</t>
  </si>
  <si>
    <t>084-羊坳</t>
  </si>
  <si>
    <t>CS001020T</t>
  </si>
  <si>
    <t>花沟</t>
  </si>
  <si>
    <t>CS001020T00</t>
  </si>
  <si>
    <t>084-花沟</t>
  </si>
  <si>
    <t>CS001020U</t>
  </si>
  <si>
    <t>葡萄田</t>
  </si>
  <si>
    <t>CS001020U00</t>
  </si>
  <si>
    <t>084-葡萄田</t>
  </si>
  <si>
    <t>CS001020V</t>
  </si>
  <si>
    <t>连坞</t>
  </si>
  <si>
    <t>CS001020V00</t>
  </si>
  <si>
    <t>084-连坞</t>
  </si>
  <si>
    <t>CS0010210</t>
  </si>
  <si>
    <t>长科弄</t>
  </si>
  <si>
    <t>CS001021000</t>
  </si>
  <si>
    <t>084-长科弄</t>
  </si>
  <si>
    <t>CS0010211</t>
  </si>
  <si>
    <t>雪坞</t>
  </si>
  <si>
    <t>CS001021100</t>
  </si>
  <si>
    <t>084-雪坞</t>
  </si>
  <si>
    <t>CS0010212</t>
  </si>
  <si>
    <t>马车坳</t>
  </si>
  <si>
    <t>CS001021200</t>
  </si>
  <si>
    <t>084-马车坳</t>
  </si>
  <si>
    <t>CS0010213</t>
  </si>
  <si>
    <t>黄岭坞</t>
  </si>
  <si>
    <t>CS001021300</t>
  </si>
  <si>
    <t>084-黄岭坞</t>
  </si>
  <si>
    <t>CS0010214</t>
  </si>
  <si>
    <t>黄泥岗</t>
  </si>
  <si>
    <t>CS001021400</t>
  </si>
  <si>
    <t>084-黄泥岗</t>
  </si>
  <si>
    <t>CS0010215</t>
  </si>
  <si>
    <t>黄马弄</t>
  </si>
  <si>
    <t>CS001021500</t>
  </si>
  <si>
    <t>084-黄马弄</t>
  </si>
  <si>
    <t>CS0010216</t>
  </si>
  <si>
    <t>龙潭</t>
  </si>
  <si>
    <t>CS001021600</t>
  </si>
  <si>
    <t>084-龙潭</t>
  </si>
  <si>
    <t>天马街道</t>
  </si>
  <si>
    <t>CS002</t>
  </si>
  <si>
    <t>西二区</t>
  </si>
  <si>
    <t>Y0008</t>
  </si>
  <si>
    <t>吴立群</t>
  </si>
  <si>
    <t>CS00200</t>
  </si>
  <si>
    <t>五联</t>
  </si>
  <si>
    <t>黄建军</t>
  </si>
  <si>
    <t>CS0020000</t>
  </si>
  <si>
    <t>古老山</t>
  </si>
  <si>
    <t>CS002000000</t>
  </si>
  <si>
    <t>125-古老山</t>
  </si>
  <si>
    <t>CS0020001</t>
  </si>
  <si>
    <t>煤坳山</t>
  </si>
  <si>
    <t>CS002000100</t>
  </si>
  <si>
    <t>121-煤坳山</t>
  </si>
  <si>
    <t>CSYXG-T-121</t>
  </si>
  <si>
    <t>CS00201</t>
  </si>
  <si>
    <t>和平</t>
  </si>
  <si>
    <t>甘全发</t>
  </si>
  <si>
    <t>CS0020100</t>
  </si>
  <si>
    <t>何家山</t>
  </si>
  <si>
    <t>CS002010000</t>
  </si>
  <si>
    <t>060-何家山</t>
  </si>
  <si>
    <t>CSYXG-T-060</t>
  </si>
  <si>
    <t>CS002010001</t>
  </si>
  <si>
    <t>125-何家山</t>
  </si>
  <si>
    <t>CS0020101</t>
  </si>
  <si>
    <t>和平黄家店</t>
  </si>
  <si>
    <t>CS002010100</t>
  </si>
  <si>
    <t>125-和平黄家店</t>
  </si>
  <si>
    <t>CS0020102</t>
  </si>
  <si>
    <t>沙子科</t>
  </si>
  <si>
    <t>CS002010200</t>
  </si>
  <si>
    <t>125-沙子科</t>
  </si>
  <si>
    <t>CS0020103</t>
  </si>
  <si>
    <t>煤洞科</t>
  </si>
  <si>
    <t>CS002010300</t>
  </si>
  <si>
    <t>125-煤洞科</t>
  </si>
  <si>
    <t>CS0020104</t>
  </si>
  <si>
    <t>茶叶山</t>
  </si>
  <si>
    <t>CS002010400</t>
  </si>
  <si>
    <t>060-茶叶山</t>
  </si>
  <si>
    <t>CS002010401</t>
  </si>
  <si>
    <t>115-茶叶山</t>
  </si>
  <si>
    <t>CSYXG-T-115</t>
  </si>
  <si>
    <t>CS002010402</t>
  </si>
  <si>
    <t>125-茶叶山</t>
  </si>
  <si>
    <t>CS0020105</t>
  </si>
  <si>
    <t>蛇山背</t>
  </si>
  <si>
    <t>CS002010500</t>
  </si>
  <si>
    <t>060-蛇山背</t>
  </si>
  <si>
    <t>CS0020106</t>
  </si>
  <si>
    <t>野猪山</t>
  </si>
  <si>
    <t>CS002010600</t>
  </si>
  <si>
    <t>045-野猪山</t>
  </si>
  <si>
    <t>CSYXG-T-045</t>
  </si>
  <si>
    <t>CS002010601</t>
  </si>
  <si>
    <t>060-野猪山</t>
  </si>
  <si>
    <t>CS0020107</t>
  </si>
  <si>
    <t>黄金垄</t>
  </si>
  <si>
    <t>CS002010700</t>
  </si>
  <si>
    <t>060-黄金垄</t>
  </si>
  <si>
    <t>CS002010701</t>
  </si>
  <si>
    <t>125-黄金垄</t>
  </si>
  <si>
    <t>CS00202</t>
  </si>
  <si>
    <t>天安</t>
  </si>
  <si>
    <t>曾志星</t>
  </si>
  <si>
    <t>CS0020200</t>
  </si>
  <si>
    <t>下畈</t>
  </si>
  <si>
    <t>CS002020000</t>
  </si>
  <si>
    <t>043-下畈</t>
  </si>
  <si>
    <t>CSYXG-T-043</t>
  </si>
  <si>
    <t>CS002020001</t>
  </si>
  <si>
    <t>125-下畈</t>
  </si>
  <si>
    <t>CS0020201</t>
  </si>
  <si>
    <t>前坞</t>
  </si>
  <si>
    <t>CS002020100</t>
  </si>
  <si>
    <t>125-前坞</t>
  </si>
  <si>
    <t>CS0020202</t>
  </si>
  <si>
    <t>明清坞</t>
  </si>
  <si>
    <t>CS002020200</t>
  </si>
  <si>
    <t>043-明清坞</t>
  </si>
  <si>
    <t>CS002020201</t>
  </si>
  <si>
    <t>116-明清坞</t>
  </si>
  <si>
    <t>CSYXG-T-116</t>
  </si>
  <si>
    <t>CS002020202</t>
  </si>
  <si>
    <t>125-明清坞</t>
  </si>
  <si>
    <t>CS0020203</t>
  </si>
  <si>
    <t>港背山</t>
  </si>
  <si>
    <t>CS002020300</t>
  </si>
  <si>
    <t>125-港背山</t>
  </si>
  <si>
    <t>CS0020204</t>
  </si>
  <si>
    <t>白马弄</t>
  </si>
  <si>
    <t>CS002020400</t>
  </si>
  <si>
    <t>030-白马弄</t>
  </si>
  <si>
    <t>CSYXG-T-030</t>
  </si>
  <si>
    <t>CS0020205</t>
  </si>
  <si>
    <t>蚂蟥弄</t>
  </si>
  <si>
    <t>CS002020500</t>
  </si>
  <si>
    <t>125-蚂蟥弄</t>
  </si>
  <si>
    <t>CS0020206</t>
  </si>
  <si>
    <t>黄家店</t>
  </si>
  <si>
    <t>CS002020600</t>
  </si>
  <si>
    <t>060-黄家店</t>
  </si>
  <si>
    <t>CS002020601</t>
  </si>
  <si>
    <t>125-黄家店</t>
  </si>
  <si>
    <t>CS00203</t>
  </si>
  <si>
    <t>新塘岭</t>
  </si>
  <si>
    <t>范应真</t>
  </si>
  <si>
    <t>CS0020300</t>
  </si>
  <si>
    <t>下西塘</t>
  </si>
  <si>
    <t>CS002030000</t>
  </si>
  <si>
    <t>048-下西塘</t>
  </si>
  <si>
    <t>CSYXG-T-048</t>
  </si>
  <si>
    <t>CS0020301</t>
  </si>
  <si>
    <t>下贩</t>
  </si>
  <si>
    <t>CS002030100</t>
  </si>
  <si>
    <t>122-下贩</t>
  </si>
  <si>
    <t>CSYXG-T-117-118-119-122</t>
  </si>
  <si>
    <t>CS0020302</t>
  </si>
  <si>
    <t>夏家蓬</t>
  </si>
  <si>
    <t>CS002030200</t>
  </si>
  <si>
    <t>062-夏家蓬</t>
  </si>
  <si>
    <t>CSYXG-T-062</t>
  </si>
  <si>
    <t>CS002030201</t>
  </si>
  <si>
    <t>072-夏家蓬</t>
  </si>
  <si>
    <t>CSYXG-T-072</t>
  </si>
  <si>
    <t>CS002030202</t>
  </si>
  <si>
    <t>074-夏家蓬</t>
  </si>
  <si>
    <t>CSYXG-T-074</t>
  </si>
  <si>
    <t>CS002030203</t>
  </si>
  <si>
    <t>128-夏家蓬</t>
  </si>
  <si>
    <t>CSYXG-T-127-128</t>
  </si>
  <si>
    <t>CS0020303</t>
  </si>
  <si>
    <t>CS002030300</t>
  </si>
  <si>
    <t>CS0020304</t>
  </si>
  <si>
    <t>罗汉坞</t>
  </si>
  <si>
    <t>CS002030400</t>
  </si>
  <si>
    <t>038-罗汉坞</t>
  </si>
  <si>
    <t>CSYXG-T-038</t>
  </si>
  <si>
    <t>CS00204</t>
  </si>
  <si>
    <t>曹会关</t>
  </si>
  <si>
    <t>甘淑明</t>
  </si>
  <si>
    <t>CS0020400</t>
  </si>
  <si>
    <t>上宅坞</t>
  </si>
  <si>
    <t>CS002040000</t>
  </si>
  <si>
    <t>041-上宅坞</t>
  </si>
  <si>
    <t>CSYXG-T-041</t>
  </si>
  <si>
    <t>CS0020401</t>
  </si>
  <si>
    <t>天狮井</t>
  </si>
  <si>
    <t>CS002040100</t>
  </si>
  <si>
    <t>010-天狮井</t>
  </si>
  <si>
    <t>CSYXG-T-010</t>
  </si>
  <si>
    <t>CS002040101</t>
  </si>
  <si>
    <t>104-天狮井</t>
  </si>
  <si>
    <t>CSYXG-T-104</t>
  </si>
  <si>
    <t>CS0020402</t>
  </si>
  <si>
    <t>樟坞口</t>
  </si>
  <si>
    <t>CS002040200</t>
  </si>
  <si>
    <t>085-樟坞口</t>
  </si>
  <si>
    <t>CSYXG-T-085</t>
  </si>
  <si>
    <t>CS0020403</t>
  </si>
  <si>
    <t>菜坞</t>
  </si>
  <si>
    <t>CS002040300</t>
  </si>
  <si>
    <t>041-菜坞</t>
  </si>
  <si>
    <t>CS002040301</t>
  </si>
  <si>
    <t>126-菜坞</t>
  </si>
  <si>
    <t>CSYXG-T-126</t>
  </si>
  <si>
    <t>CS0020404</t>
  </si>
  <si>
    <t>西山排</t>
  </si>
  <si>
    <t>CS002040400</t>
  </si>
  <si>
    <t>105-西山排</t>
  </si>
  <si>
    <t>CSYXG-T-105</t>
  </si>
  <si>
    <t>CS002040401</t>
  </si>
  <si>
    <t>120-西山排</t>
  </si>
  <si>
    <t>CSYXG-T-120</t>
  </si>
  <si>
    <t>CS00205</t>
  </si>
  <si>
    <t>石坝</t>
  </si>
  <si>
    <t>林全国</t>
  </si>
  <si>
    <t>CS0020500</t>
  </si>
  <si>
    <t>垃圾场</t>
  </si>
  <si>
    <t>CS002050000</t>
  </si>
  <si>
    <t>125-垃圾场</t>
  </si>
  <si>
    <t>CS0020501</t>
  </si>
  <si>
    <t>新埠</t>
  </si>
  <si>
    <t>CS002050100</t>
  </si>
  <si>
    <t>125-新埠</t>
  </si>
  <si>
    <t>CS0020502</t>
  </si>
  <si>
    <t>李家山</t>
  </si>
  <si>
    <t>CS002050200</t>
  </si>
  <si>
    <t>125-李家山</t>
  </si>
  <si>
    <t>CS0020503</t>
  </si>
  <si>
    <t>梁山树下</t>
  </si>
  <si>
    <t>CS002050300</t>
  </si>
  <si>
    <t>125-梁山树下</t>
  </si>
  <si>
    <t>CS0020504</t>
  </si>
  <si>
    <t>瓦窑山</t>
  </si>
  <si>
    <t>CS002050400</t>
  </si>
  <si>
    <t>125-瓦窑山</t>
  </si>
  <si>
    <t>CS0020505</t>
  </si>
  <si>
    <t>茶坞</t>
  </si>
  <si>
    <t>CS002050500</t>
  </si>
  <si>
    <t>043-茶坞</t>
  </si>
  <si>
    <t>CS002050501</t>
  </si>
  <si>
    <t>125-茶坞</t>
  </si>
  <si>
    <t>CS0020506</t>
  </si>
  <si>
    <t>虎头山</t>
  </si>
  <si>
    <t>CS002050600</t>
  </si>
  <si>
    <t>043-虎头山</t>
  </si>
  <si>
    <t>CS0020507</t>
  </si>
  <si>
    <t>CS002050700</t>
  </si>
  <si>
    <t>CS00206</t>
  </si>
  <si>
    <t>羊坳水库</t>
  </si>
  <si>
    <t>CS0020600</t>
  </si>
  <si>
    <t>羊岙山塘</t>
  </si>
  <si>
    <t>CS002060000</t>
  </si>
  <si>
    <t>071-羊岙山塘</t>
  </si>
  <si>
    <t>CSYXG-T-071</t>
  </si>
  <si>
    <t>CS00207</t>
  </si>
  <si>
    <t>金川</t>
  </si>
  <si>
    <t>王国坤</t>
  </si>
  <si>
    <t>CS0020700</t>
  </si>
  <si>
    <t>三里亭</t>
  </si>
  <si>
    <t>CS002070000</t>
  </si>
  <si>
    <t>099-三里亭</t>
  </si>
  <si>
    <t>CSYXG-T-099</t>
  </si>
  <si>
    <t>CS002070001</t>
  </si>
  <si>
    <t>123-三里亭</t>
  </si>
  <si>
    <t>CSYXG-T-123</t>
  </si>
  <si>
    <t>CS0020701</t>
  </si>
  <si>
    <t>上埠</t>
  </si>
  <si>
    <t>CS002070100</t>
  </si>
  <si>
    <t>040-上埠</t>
  </si>
  <si>
    <t>CSYXG-T-040</t>
  </si>
  <si>
    <t>CS0020702</t>
  </si>
  <si>
    <t>东东花卉</t>
  </si>
  <si>
    <t>CS002070200</t>
  </si>
  <si>
    <t>040-东东花卉</t>
  </si>
  <si>
    <t>CS0020703</t>
  </si>
  <si>
    <t>五里亭</t>
  </si>
  <si>
    <t>CS002070300</t>
  </si>
  <si>
    <t>042-五里亭</t>
  </si>
  <si>
    <t>CSYXG-T-042</t>
  </si>
  <si>
    <t>CS002070301</t>
  </si>
  <si>
    <t>098-五里亭</t>
  </si>
  <si>
    <t>CSYXG-T-098</t>
  </si>
  <si>
    <t>CS002070302</t>
  </si>
  <si>
    <t>099-五里亭</t>
  </si>
  <si>
    <t>CS0020704</t>
  </si>
  <si>
    <t>CS002070400</t>
  </si>
  <si>
    <t>099-仓坞</t>
  </si>
  <si>
    <t>CS002070401</t>
  </si>
  <si>
    <t>106-仓坞</t>
  </si>
  <si>
    <t>CSYXG-T-106</t>
  </si>
  <si>
    <t>CS0020705</t>
  </si>
  <si>
    <t>四里亭</t>
  </si>
  <si>
    <t>CS002070500</t>
  </si>
  <si>
    <t>098-四里亭</t>
  </si>
  <si>
    <t>CS002070501</t>
  </si>
  <si>
    <t>099-四里亭</t>
  </si>
  <si>
    <t>CS0020706</t>
  </si>
  <si>
    <t>学堂山</t>
  </si>
  <si>
    <t>CS002070600</t>
  </si>
  <si>
    <t>042-学堂山</t>
  </si>
  <si>
    <t>CS002070601</t>
  </si>
  <si>
    <t>099-学堂山</t>
  </si>
  <si>
    <t>CS0020707</t>
  </si>
  <si>
    <t>竹园里</t>
  </si>
  <si>
    <t>CS002070700</t>
  </si>
  <si>
    <t>040-竹园里</t>
  </si>
  <si>
    <t>同弓乡</t>
  </si>
  <si>
    <t>浙江常山控股股份有限公司</t>
  </si>
  <si>
    <t>CS003</t>
  </si>
  <si>
    <t>示范区</t>
  </si>
  <si>
    <t>CS00300</t>
  </si>
  <si>
    <t>同弓示范基地</t>
  </si>
  <si>
    <t>官礼春</t>
  </si>
  <si>
    <t>CS0030000</t>
  </si>
  <si>
    <t>中和村</t>
  </si>
  <si>
    <t>CS003000000</t>
  </si>
  <si>
    <t>占祥荣-中和村</t>
  </si>
  <si>
    <t>占祥荣</t>
  </si>
  <si>
    <t>CS003000001</t>
  </si>
  <si>
    <t>徐水生-中和村</t>
  </si>
  <si>
    <t>徐水生</t>
  </si>
  <si>
    <t>CS0030001</t>
  </si>
  <si>
    <t>中和村/官庄村</t>
  </si>
  <si>
    <t>CS003000100</t>
  </si>
  <si>
    <t>002-中和村/官庄村</t>
  </si>
  <si>
    <t>CSST-2C-L2-2024-0002</t>
  </si>
  <si>
    <t>CS0030002</t>
  </si>
  <si>
    <t>官庄桥村</t>
  </si>
  <si>
    <t>CS003000200</t>
  </si>
  <si>
    <t>003-官庄桥村</t>
  </si>
  <si>
    <t>YXGGZNY20250101-0003</t>
  </si>
  <si>
    <t>CS00301</t>
  </si>
  <si>
    <t>同弓苗地</t>
  </si>
  <si>
    <t>CS0030100</t>
  </si>
  <si>
    <t>同弓现代农业区</t>
  </si>
  <si>
    <t>CS003010000</t>
  </si>
  <si>
    <t>政府-同弓现代农业区</t>
  </si>
  <si>
    <t>同弓乡人民政府</t>
  </si>
  <si>
    <t>CS00302</t>
  </si>
  <si>
    <t>同弓高换基地</t>
  </si>
  <si>
    <t>CS0030200</t>
  </si>
  <si>
    <t>CS003020000</t>
  </si>
  <si>
    <t>004-中和村</t>
  </si>
  <si>
    <t>YXGLSNY20250101-0004</t>
  </si>
  <si>
    <t>广西壮族自治区</t>
  </si>
  <si>
    <t>百色市</t>
  </si>
  <si>
    <t>田林县</t>
  </si>
  <si>
    <t>旧州镇</t>
  </si>
  <si>
    <t>广西百色柚香谷农业公司</t>
  </si>
  <si>
    <t>BS0</t>
  </si>
  <si>
    <t>广西百色</t>
  </si>
  <si>
    <t>张就里</t>
  </si>
  <si>
    <t>BS000</t>
  </si>
  <si>
    <t>田林平林片区</t>
  </si>
  <si>
    <t>张昌全</t>
  </si>
  <si>
    <t>BS00000</t>
  </si>
  <si>
    <t>平林</t>
  </si>
  <si>
    <t>张远超</t>
  </si>
  <si>
    <t>BS0000000</t>
  </si>
  <si>
    <t>平林1</t>
  </si>
  <si>
    <t>BS000000000</t>
  </si>
  <si>
    <t>001-平林1</t>
  </si>
  <si>
    <t>YXG-BS-2024-001</t>
  </si>
  <si>
    <t>BS0000001</t>
  </si>
  <si>
    <t>平林2</t>
  </si>
  <si>
    <t>BS000000100</t>
  </si>
  <si>
    <t>001-平林2</t>
  </si>
  <si>
    <t>BS0000002</t>
  </si>
  <si>
    <t>平林3</t>
  </si>
  <si>
    <t>BS000000200</t>
  </si>
  <si>
    <t>001-平林3</t>
  </si>
  <si>
    <t>BS0000003</t>
  </si>
  <si>
    <t>平林4</t>
  </si>
  <si>
    <t>BS000000300</t>
  </si>
  <si>
    <t>001-平林4</t>
  </si>
  <si>
    <t>BS0000004</t>
  </si>
  <si>
    <t>平林5</t>
  </si>
  <si>
    <t>BS000000400</t>
  </si>
  <si>
    <t>001-平林5</t>
  </si>
  <si>
    <t>BS0000005</t>
  </si>
  <si>
    <t>平林6</t>
  </si>
  <si>
    <t>BS000000500</t>
  </si>
  <si>
    <t>001-平林6</t>
  </si>
  <si>
    <t>BS0000006</t>
  </si>
  <si>
    <t>平林7</t>
  </si>
  <si>
    <t>BS000000600</t>
  </si>
  <si>
    <t>001-平林7</t>
  </si>
  <si>
    <t>BS0000007</t>
  </si>
  <si>
    <t>平林8</t>
  </si>
  <si>
    <t>BS000000700</t>
  </si>
  <si>
    <t>001-平林8</t>
  </si>
  <si>
    <t>BS0000008</t>
  </si>
  <si>
    <t>平林9</t>
  </si>
  <si>
    <t>BS000000800</t>
  </si>
  <si>
    <t>001-平林9</t>
  </si>
  <si>
    <t>右江区</t>
  </si>
  <si>
    <t>大楞乡</t>
  </si>
  <si>
    <t>BS001</t>
  </si>
  <si>
    <t>龙细区（规划中）</t>
  </si>
  <si>
    <t>BS00100</t>
  </si>
  <si>
    <t>龙细</t>
  </si>
  <si>
    <t>BS0010000</t>
  </si>
  <si>
    <t>龙细1</t>
  </si>
  <si>
    <t>BS001000000</t>
  </si>
  <si>
    <t>002-龙细1</t>
  </si>
  <si>
    <t>YXG-BS-2024-002</t>
  </si>
  <si>
    <t>四川省</t>
  </si>
  <si>
    <t>广安市</t>
  </si>
  <si>
    <t>武胜县</t>
  </si>
  <si>
    <t>万善镇</t>
  </si>
  <si>
    <t>四川武胜柚香谷农业公司</t>
  </si>
  <si>
    <t>WS0</t>
  </si>
  <si>
    <t>四川武胜</t>
  </si>
  <si>
    <t>袁武春</t>
  </si>
  <si>
    <t>WS000</t>
  </si>
  <si>
    <t>自营区</t>
  </si>
  <si>
    <t>万善</t>
  </si>
  <si>
    <t>唐斌</t>
  </si>
  <si>
    <t>WS00000</t>
  </si>
  <si>
    <t>干家湾宝箴塞</t>
  </si>
  <si>
    <t>WS0000000</t>
  </si>
  <si>
    <t>干家湾</t>
  </si>
  <si>
    <t>WS000000000</t>
  </si>
  <si>
    <t>羊城村332.97亩</t>
  </si>
  <si>
    <t>HTSPCCGXS-202410-0022</t>
  </si>
  <si>
    <t>WS0000001</t>
  </si>
  <si>
    <t>宝箴塞</t>
  </si>
  <si>
    <t>WS000000100</t>
  </si>
  <si>
    <t>农山村97.94亩</t>
  </si>
  <si>
    <t>HTSPCCGXS-202503-0021</t>
  </si>
  <si>
    <t>WS000000101</t>
  </si>
  <si>
    <t>金斧村</t>
  </si>
  <si>
    <t>正在签署</t>
  </si>
  <si>
    <t>WS000000102</t>
  </si>
  <si>
    <t>穿岩村</t>
  </si>
  <si>
    <t>金牛镇</t>
  </si>
  <si>
    <t>WS001</t>
  </si>
  <si>
    <t>金牛</t>
  </si>
  <si>
    <t>唐进</t>
  </si>
  <si>
    <t>WS00100</t>
  </si>
  <si>
    <t>桂花湾</t>
  </si>
  <si>
    <t>WS0010000</t>
  </si>
  <si>
    <t>WS001000000</t>
  </si>
  <si>
    <t>桂花湾村486.411亩</t>
  </si>
  <si>
    <t>HTSPCCGXS-202507-0052</t>
  </si>
  <si>
    <t>WS001000001</t>
  </si>
  <si>
    <t>桂花湾村20.59亩</t>
  </si>
  <si>
    <t>HTSPCCGXS-202505-0002</t>
  </si>
  <si>
    <t>WS001000002</t>
  </si>
  <si>
    <t>石院墙村114.41亩</t>
  </si>
  <si>
    <t>HTSPCCGXS-202505-0001</t>
  </si>
  <si>
    <t>赛马镇</t>
  </si>
  <si>
    <t>WS002</t>
  </si>
  <si>
    <t>赛马</t>
  </si>
  <si>
    <t>唐富强</t>
  </si>
  <si>
    <t>WS00200</t>
  </si>
  <si>
    <t>尼姑庵</t>
  </si>
  <si>
    <t>WS0020000</t>
  </si>
  <si>
    <t>WS002000000</t>
  </si>
  <si>
    <t>尼姑庵村355亩</t>
  </si>
  <si>
    <t>HTSPCCGXS-202409-0084</t>
  </si>
  <si>
    <t>WS002000001</t>
  </si>
  <si>
    <t>尼姑庵村3.87亩</t>
  </si>
  <si>
    <t>HTSPCCGXS-202509-0121</t>
  </si>
  <si>
    <t>WS002000002</t>
  </si>
  <si>
    <t>复兴村528.594亩</t>
  </si>
  <si>
    <t>HTSPCCGXS-202511-0009</t>
  </si>
  <si>
    <t>唐多林</t>
  </si>
  <si>
    <t>WS00001</t>
  </si>
  <si>
    <t>沙溪</t>
  </si>
  <si>
    <t>WS0000100</t>
  </si>
  <si>
    <t>WS000010000</t>
  </si>
  <si>
    <t>吊楼村380亩</t>
  </si>
  <si>
    <t>HTSPCCGXS-202502-0009</t>
  </si>
  <si>
    <t>胜利镇</t>
  </si>
  <si>
    <t>WS003</t>
  </si>
  <si>
    <t>胜利</t>
  </si>
  <si>
    <t>吴俊宏</t>
  </si>
  <si>
    <t>WS00300</t>
  </si>
  <si>
    <t>桥亭1</t>
  </si>
  <si>
    <t>唐钱财</t>
  </si>
  <si>
    <t>WS0030000</t>
  </si>
  <si>
    <t>桥亭</t>
  </si>
  <si>
    <t>WS003000000</t>
  </si>
  <si>
    <t>桥亭村317.02亩</t>
  </si>
  <si>
    <t>HTSPCCGXS-202508-0012</t>
  </si>
  <si>
    <t>WS004</t>
  </si>
  <si>
    <t>潘利明合作区</t>
  </si>
  <si>
    <t>三溪</t>
  </si>
  <si>
    <t>段富顺</t>
  </si>
  <si>
    <t>WS00400</t>
  </si>
  <si>
    <t>三溪西区</t>
  </si>
  <si>
    <t>易文思</t>
  </si>
  <si>
    <t>WS0040000</t>
  </si>
  <si>
    <t>三溪西</t>
  </si>
  <si>
    <t>WS004000000</t>
  </si>
  <si>
    <t>三溪西1</t>
  </si>
  <si>
    <t>三溪苗圃划到三西西</t>
  </si>
  <si>
    <t>HTSPCCGXS-202409-0075</t>
  </si>
  <si>
    <t>三溪西2</t>
  </si>
  <si>
    <t>HTSPCCGXS-202409-0074</t>
  </si>
  <si>
    <t>WS00401</t>
  </si>
  <si>
    <t>三溪南区</t>
  </si>
  <si>
    <t>黄战军</t>
  </si>
  <si>
    <t>WS0040100</t>
  </si>
  <si>
    <t>三溪南</t>
  </si>
  <si>
    <t>WS004010000</t>
  </si>
  <si>
    <t>三溪南360亩</t>
  </si>
  <si>
    <t>WS00402</t>
  </si>
  <si>
    <t>三溪东区</t>
  </si>
  <si>
    <t>余荣星</t>
  </si>
  <si>
    <t>WS0040200</t>
  </si>
  <si>
    <t>三溪东</t>
  </si>
  <si>
    <t>WS004020000</t>
  </si>
  <si>
    <t>三溪东1</t>
  </si>
  <si>
    <t>三溪东2</t>
  </si>
  <si>
    <t>WS00404</t>
  </si>
  <si>
    <t>三溪北区</t>
  </si>
  <si>
    <t>WS0040400</t>
  </si>
  <si>
    <t>三溪北</t>
  </si>
  <si>
    <t>WS004040000</t>
  </si>
  <si>
    <t>孙国平/陆亚忠合作区</t>
  </si>
  <si>
    <t>许军</t>
  </si>
  <si>
    <t>WS00301</t>
  </si>
  <si>
    <t>嘉乐</t>
  </si>
  <si>
    <t>xu.jun</t>
  </si>
  <si>
    <t>WS0030100</t>
  </si>
  <si>
    <t>WS003010000</t>
  </si>
  <si>
    <t>嘉乐村1084.474亩</t>
  </si>
  <si>
    <t>HTSPCCGXS-202504-5049</t>
  </si>
  <si>
    <t>WS003010001</t>
  </si>
  <si>
    <t>嘉乐村45.65亩</t>
  </si>
  <si>
    <t>HTSPCCGXS-202507-0019</t>
  </si>
  <si>
    <t>WS00101</t>
  </si>
  <si>
    <t>望乡坪</t>
  </si>
  <si>
    <t>石锐</t>
  </si>
  <si>
    <t>WS0010100</t>
  </si>
  <si>
    <t>WS001010000</t>
  </si>
  <si>
    <t>望乡坪村267.53亩</t>
  </si>
  <si>
    <t>HTSPCCGXS-202506-0037</t>
  </si>
  <si>
    <t>WS00302</t>
  </si>
  <si>
    <t>吊井龙</t>
  </si>
  <si>
    <t>吴军</t>
  </si>
  <si>
    <t>WS0030200</t>
  </si>
  <si>
    <t>WS003020000</t>
  </si>
  <si>
    <t>吊井龙村341.61亩</t>
  </si>
  <si>
    <t>HTSPCCGXS-202507-0020</t>
  </si>
  <si>
    <t>WS00303</t>
  </si>
  <si>
    <t>龙头沟</t>
  </si>
  <si>
    <t>康伟</t>
  </si>
  <si>
    <t>WS0030300</t>
  </si>
  <si>
    <t>WS003030000</t>
  </si>
  <si>
    <t>双埝村385.89亩</t>
  </si>
  <si>
    <t>HTSPCCGXS-202505-0146</t>
  </si>
  <si>
    <t>李凤英合作区</t>
  </si>
  <si>
    <t>李勤山</t>
  </si>
  <si>
    <t>WS00304</t>
  </si>
  <si>
    <t>观音塘</t>
  </si>
  <si>
    <t>陆双喜</t>
  </si>
  <si>
    <t>WS0030400</t>
  </si>
  <si>
    <t>WS003040000</t>
  </si>
  <si>
    <t>观音塘村462.202亩</t>
  </si>
  <si>
    <t>HTSPCCGXS-202512-0097</t>
  </si>
  <si>
    <t>WS0030401</t>
  </si>
  <si>
    <t>WS003040100</t>
  </si>
  <si>
    <t>吊井龙村121亩</t>
  </si>
  <si>
    <t>郑晓斌合作区</t>
  </si>
  <si>
    <t>阮成文</t>
  </si>
  <si>
    <t>WS00305</t>
  </si>
  <si>
    <t>桥亭2</t>
  </si>
  <si>
    <t>WS0030500</t>
  </si>
  <si>
    <t>WS003050000</t>
  </si>
  <si>
    <t>桥亭村625.08亩</t>
  </si>
  <si>
    <t>WS003050001</t>
  </si>
  <si>
    <t>桥亭村33.33亩</t>
  </si>
  <si>
    <t>HTSPCCGXS-202505-0143</t>
  </si>
  <si>
    <t>WS0030501</t>
  </si>
  <si>
    <t>双埝</t>
  </si>
  <si>
    <t>WS003050100</t>
  </si>
  <si>
    <t>双埝村457.33亩</t>
  </si>
  <si>
    <t>HTSPCCGXS-202504-5008</t>
  </si>
  <si>
    <t>陈若清合作区</t>
  </si>
  <si>
    <t>储成杰</t>
  </si>
  <si>
    <t>WS00306</t>
  </si>
  <si>
    <t>穿岩</t>
  </si>
  <si>
    <t>汤逸</t>
  </si>
  <si>
    <t>WS0030600</t>
  </si>
  <si>
    <t>WS003060000</t>
  </si>
  <si>
    <t>穿岩村225.714亩</t>
  </si>
  <si>
    <t>HTSPCCGXS-202505-0041</t>
  </si>
  <si>
    <t>WS003060001</t>
  </si>
  <si>
    <t>观音塘121.91亩</t>
  </si>
  <si>
    <t>WS003060002</t>
  </si>
  <si>
    <t>五谷湾79.15亩</t>
  </si>
  <si>
    <t>HTSPCCGXS-202505-0043</t>
  </si>
  <si>
    <t>WS003060003</t>
  </si>
  <si>
    <t>复兴村</t>
  </si>
  <si>
    <t>WS003060004</t>
  </si>
  <si>
    <t>保安村110.53亩</t>
  </si>
  <si>
    <t>HTSPCCGXS-202505-0042</t>
  </si>
  <si>
    <t>中心镇</t>
  </si>
  <si>
    <t>WS005</t>
  </si>
  <si>
    <t>李岳云合作区</t>
  </si>
  <si>
    <t>中心</t>
  </si>
  <si>
    <t>李岳云</t>
  </si>
  <si>
    <t>WS00500</t>
  </si>
  <si>
    <t>象鼻</t>
  </si>
  <si>
    <t>WS0050000</t>
  </si>
  <si>
    <t>WS005000000</t>
  </si>
  <si>
    <t>象鼻824亩</t>
  </si>
  <si>
    <t>HTSPCCGXS-202503-0098</t>
  </si>
  <si>
    <t>WS005000001</t>
  </si>
  <si>
    <t>象鼻2.86亩</t>
  </si>
  <si>
    <t>HTSPCCGXS-202509-0050</t>
  </si>
  <si>
    <t>街子镇</t>
  </si>
  <si>
    <t>WS006</t>
  </si>
  <si>
    <t>王云中合作区</t>
  </si>
  <si>
    <t>街子</t>
  </si>
  <si>
    <t>王云中</t>
  </si>
  <si>
    <t>WS00600</t>
  </si>
  <si>
    <t>九湾1</t>
  </si>
  <si>
    <t>WS0060000</t>
  </si>
  <si>
    <t>九湾</t>
  </si>
  <si>
    <t>WS006000000</t>
  </si>
  <si>
    <t>九湾1-500亩</t>
  </si>
  <si>
    <t>HTSPCCGXS-202505-0082</t>
  </si>
  <si>
    <t>陶坤和合作区</t>
  </si>
  <si>
    <t>陶坤和</t>
  </si>
  <si>
    <t>WS00601</t>
  </si>
  <si>
    <t>龙兴</t>
  </si>
  <si>
    <t>段海林</t>
  </si>
  <si>
    <t>WS0060100</t>
  </si>
  <si>
    <t>龙兴1</t>
  </si>
  <si>
    <t>WS006010000</t>
  </si>
  <si>
    <t>龙兴1-204.6亩</t>
  </si>
  <si>
    <t>HTSPCCGXS-202506-0044</t>
  </si>
  <si>
    <t>WS0060101</t>
  </si>
  <si>
    <t>龙兴2</t>
  </si>
  <si>
    <t>WS006010100</t>
  </si>
  <si>
    <t>龙兴2-44.005亩</t>
  </si>
  <si>
    <t>HTSPCCGXS-202506-0045</t>
  </si>
  <si>
    <t>沿口镇</t>
  </si>
  <si>
    <t>WS007</t>
  </si>
  <si>
    <t>沿口</t>
  </si>
  <si>
    <t>WS00700</t>
  </si>
  <si>
    <t>金狮</t>
  </si>
  <si>
    <t>郑宁</t>
  </si>
  <si>
    <t>WS0070000</t>
  </si>
  <si>
    <t>金狮1</t>
  </si>
  <si>
    <t>WS007000000</t>
  </si>
  <si>
    <t>金狮1-286.72亩</t>
  </si>
  <si>
    <t>318后更新</t>
  </si>
  <si>
    <t>HTSPCCGXS-202410-0023</t>
  </si>
  <si>
    <t>WS0070001</t>
  </si>
  <si>
    <t>金狮2</t>
  </si>
  <si>
    <t>WS007000100</t>
  </si>
  <si>
    <t>金狮2-326.01亩</t>
  </si>
  <si>
    <t>HTSPCCGXS-202505-0145</t>
  </si>
  <si>
    <t>HTSPCCGXS-202410-0021</t>
  </si>
  <si>
    <t>鸣钟镇</t>
  </si>
  <si>
    <t>WS008</t>
  </si>
  <si>
    <t>鸣钟</t>
  </si>
  <si>
    <t>WS00800</t>
  </si>
  <si>
    <t>小寨</t>
  </si>
  <si>
    <t>曾勇</t>
  </si>
  <si>
    <t>WS0080000</t>
  </si>
  <si>
    <t>小寨1</t>
  </si>
  <si>
    <t>WS008000000</t>
  </si>
  <si>
    <t>小寨1-203.79</t>
  </si>
  <si>
    <t>HTSPCCGXS-202411-0011</t>
  </si>
  <si>
    <t>邹海波</t>
  </si>
  <si>
    <t>WS00801</t>
  </si>
  <si>
    <t>响水滩</t>
  </si>
  <si>
    <t>WS0080100</t>
  </si>
  <si>
    <t>WS008010000</t>
  </si>
  <si>
    <t>中华村214.928</t>
  </si>
  <si>
    <t>HTSPCCGXS-202504-0001</t>
  </si>
  <si>
    <t>清平镇</t>
  </si>
  <si>
    <t>WS009</t>
  </si>
  <si>
    <t>方权合作区</t>
  </si>
  <si>
    <t>清平</t>
  </si>
  <si>
    <t>WS00900</t>
  </si>
  <si>
    <t>陈家寨1</t>
  </si>
  <si>
    <t>何红林</t>
  </si>
  <si>
    <t>WS0090000</t>
  </si>
  <si>
    <t>WS009000000</t>
  </si>
  <si>
    <t>陈家寨1-681亩</t>
  </si>
  <si>
    <t>HTSPCCGXS-202506-0084</t>
  </si>
  <si>
    <t>WS00901</t>
  </si>
  <si>
    <t>陈家寨2</t>
  </si>
  <si>
    <t>程义香</t>
  </si>
  <si>
    <t>WS0090100</t>
  </si>
  <si>
    <t>WS009010000</t>
  </si>
  <si>
    <t>陈家寨2-681亩</t>
  </si>
  <si>
    <t>WS00902</t>
  </si>
  <si>
    <t>白果</t>
  </si>
  <si>
    <t>黄德强</t>
  </si>
  <si>
    <t>WS0090200</t>
  </si>
  <si>
    <t>WS009020000</t>
  </si>
  <si>
    <t>白果500.274亩</t>
  </si>
  <si>
    <t>WS00903</t>
  </si>
  <si>
    <t>华家坪</t>
  </si>
  <si>
    <t>胡旭博</t>
  </si>
  <si>
    <t>WS0090300</t>
  </si>
  <si>
    <t>WS009030000</t>
  </si>
  <si>
    <t>华家坪434.96亩</t>
  </si>
  <si>
    <t>HTSPCCGXS-202602-0017</t>
  </si>
  <si>
    <t>孙国平合作区</t>
  </si>
  <si>
    <t>岳伟</t>
  </si>
  <si>
    <t>WS00904</t>
  </si>
  <si>
    <t>会云</t>
  </si>
  <si>
    <t>燕虎忠</t>
  </si>
  <si>
    <t>WS0090400</t>
  </si>
  <si>
    <t>WS009040000</t>
  </si>
  <si>
    <t>会云村359.46亩</t>
  </si>
  <si>
    <t>HTSPCCGXS-202503-0071</t>
  </si>
  <si>
    <t>WS0090401</t>
  </si>
  <si>
    <t>大堡</t>
  </si>
  <si>
    <t>WS009040100</t>
  </si>
  <si>
    <t>大堡村127.87亩</t>
  </si>
  <si>
    <t>HTSPCCGXS-202411-0091</t>
  </si>
  <si>
    <t>WS00905</t>
  </si>
  <si>
    <t>姜盘石</t>
  </si>
  <si>
    <t>WS0090500</t>
  </si>
  <si>
    <t>WS009050000</t>
  </si>
  <si>
    <t>涌泉村130.776亩</t>
  </si>
  <si>
    <t>HTSPCCGXS-202411-0093</t>
  </si>
  <si>
    <t>WS00906</t>
  </si>
  <si>
    <t>方沟</t>
  </si>
  <si>
    <t>WS0090600</t>
  </si>
  <si>
    <t>WS009060000</t>
  </si>
  <si>
    <t>方沟590.1亩</t>
  </si>
  <si>
    <t>HTSPCCGXS-202503-0097</t>
  </si>
  <si>
    <t>WS009060001</t>
  </si>
  <si>
    <t>方沟2亩</t>
  </si>
  <si>
    <t>HTSPCCGXS-202411-0005</t>
  </si>
  <si>
    <t>龙女镇</t>
  </si>
  <si>
    <t>黄成艳合作区</t>
  </si>
  <si>
    <t>柳川</t>
  </si>
  <si>
    <t>WS00002</t>
  </si>
  <si>
    <t>幸福</t>
  </si>
  <si>
    <t>罗乔</t>
  </si>
  <si>
    <t>WS0000200</t>
  </si>
  <si>
    <t>WS000020000</t>
  </si>
  <si>
    <t>幸福村109亩</t>
  </si>
  <si>
    <t>HTSPCCGXS-202411-0094</t>
  </si>
  <si>
    <t>WS000020001</t>
  </si>
  <si>
    <t>幸福村158亩</t>
  </si>
  <si>
    <t>HTSPCCGXS-202411-0095</t>
  </si>
  <si>
    <t>WS000020002</t>
  </si>
  <si>
    <t>幸福村192.98亩</t>
  </si>
  <si>
    <t>HTSPCCGXS-202504-5010</t>
  </si>
  <si>
    <t>WS000020003</t>
  </si>
  <si>
    <t>幸福村1.84亩</t>
  </si>
  <si>
    <t>HTSPCCGXS-202506-0076</t>
  </si>
  <si>
    <t>WS00201</t>
  </si>
  <si>
    <t>花墙</t>
  </si>
  <si>
    <t>WS0020100</t>
  </si>
  <si>
    <t>WS002010000</t>
  </si>
  <si>
    <t>花墙村2.86亩</t>
  </si>
  <si>
    <t>HTSPCCGXS-202509-0010</t>
  </si>
  <si>
    <t>WS002010001</t>
  </si>
  <si>
    <t>花墙村342.78亩</t>
  </si>
  <si>
    <t>HTSPCCGXS-202506-0085</t>
  </si>
  <si>
    <t>WS00202</t>
  </si>
  <si>
    <t>天星桥</t>
  </si>
  <si>
    <t>段豪</t>
  </si>
  <si>
    <t>WS0020200</t>
  </si>
  <si>
    <t>WS002020000</t>
  </si>
  <si>
    <t>天星桥村467亩</t>
  </si>
  <si>
    <t>HTSPCCGXS-202505-0147</t>
  </si>
  <si>
    <t>WS002020001</t>
  </si>
  <si>
    <t>天星桥村19.2亩</t>
  </si>
  <si>
    <t>HTSPCCGXS-202506-0103</t>
  </si>
  <si>
    <t>孙卫宁/徐峰合作区</t>
  </si>
  <si>
    <t>徐忠</t>
  </si>
  <si>
    <t>WS00203</t>
  </si>
  <si>
    <t>应家沟</t>
  </si>
  <si>
    <t>蒋荣强</t>
  </si>
  <si>
    <t>WS0020300</t>
  </si>
  <si>
    <t>WS002030000</t>
  </si>
  <si>
    <t>应家沟村1226.9亩</t>
  </si>
  <si>
    <t>HTSPCCGXS-202504-5014</t>
  </si>
  <si>
    <t>WS00204</t>
  </si>
  <si>
    <t>李子坑</t>
  </si>
  <si>
    <t>付端红</t>
  </si>
  <si>
    <t>WS0020400</t>
  </si>
  <si>
    <t>WS002040000</t>
  </si>
  <si>
    <t>李子坑村545.61亩</t>
  </si>
  <si>
    <t>HTSPCCGXS-202505-0139</t>
  </si>
  <si>
    <t>WS002040001</t>
  </si>
  <si>
    <t>李子坑村80.77亩</t>
  </si>
  <si>
    <t>HTSPCCGXS-202412-0133</t>
  </si>
  <si>
    <t>WS002040002</t>
  </si>
  <si>
    <t>永钟村33.01亩</t>
  </si>
  <si>
    <t>HTSPCCGXS-202409-0080</t>
  </si>
  <si>
    <t>WS002040003</t>
  </si>
  <si>
    <t>堰塘湾村119.34亩</t>
  </si>
  <si>
    <t>HTSPCCGXS-202505-0138</t>
  </si>
  <si>
    <t>飞龙镇</t>
  </si>
  <si>
    <t>WS00A</t>
  </si>
  <si>
    <t>飞龙</t>
  </si>
  <si>
    <t>WS00A00</t>
  </si>
  <si>
    <t>飞龙1</t>
  </si>
  <si>
    <t>姜洪君</t>
  </si>
  <si>
    <t>WS00A0000</t>
  </si>
  <si>
    <t>WS00A000000</t>
  </si>
  <si>
    <t>木井村871.22亩</t>
  </si>
  <si>
    <t>HTSPCCGXS-202504-0006</t>
  </si>
  <si>
    <t>WS00A01</t>
  </si>
  <si>
    <t>飞龙2</t>
  </si>
  <si>
    <t>汪皓</t>
  </si>
  <si>
    <t>WS00A0100</t>
  </si>
  <si>
    <t>WS00A010000</t>
  </si>
  <si>
    <t>木井村685.44亩</t>
  </si>
  <si>
    <t>WS00A02</t>
  </si>
  <si>
    <t>飞龙3</t>
  </si>
  <si>
    <t>娄川</t>
  </si>
  <si>
    <t>WS00A0200</t>
  </si>
  <si>
    <t>WS00A020000</t>
  </si>
  <si>
    <t>木井村705.5亩</t>
  </si>
  <si>
    <t>子地块地址</t>
  </si>
  <si>
    <t>种植时间</t>
  </si>
  <si>
    <t>合同测绘面积</t>
  </si>
  <si>
    <t>是否确认</t>
  </si>
  <si>
    <t>种植株数</t>
  </si>
  <si>
    <t>大树株数</t>
  </si>
  <si>
    <t>中树株数</t>
  </si>
  <si>
    <t>小树株数</t>
  </si>
  <si>
    <t>常山县辉埠镇大埂村/鸭坞村</t>
  </si>
  <si>
    <t>2021年5月定植</t>
  </si>
  <si>
    <t>是</t>
  </si>
  <si>
    <t>CS0000004</t>
  </si>
  <si>
    <t>CS000000400</t>
  </si>
  <si>
    <t>CS0000005</t>
  </si>
  <si>
    <t>CS000000500</t>
  </si>
  <si>
    <t>CS0000006</t>
  </si>
  <si>
    <t>贩头</t>
  </si>
  <si>
    <t>CS000000600</t>
  </si>
  <si>
    <t>CS0000007</t>
  </si>
  <si>
    <t>CS000000700</t>
  </si>
  <si>
    <t>刘建军签约中</t>
  </si>
  <si>
    <r>
      <rPr>
        <sz val="10"/>
        <color rgb="FF000000"/>
        <rFont val="Microsoft YaHei"/>
        <charset val="134"/>
      </rPr>
      <t>常山县辉埠镇东乡村</t>
    </r>
    <r>
      <rPr>
        <sz val="10"/>
        <color rgb="FF000000"/>
        <rFont val="Microsoft YaHei"/>
        <charset val="134"/>
      </rPr>
      <t>/</t>
    </r>
    <r>
      <rPr>
        <sz val="10"/>
        <color rgb="FF000000"/>
        <rFont val="Microsoft YaHei"/>
        <charset val="134"/>
      </rPr>
      <t>辉埠村</t>
    </r>
  </si>
  <si>
    <t>2020年-2021年定植</t>
  </si>
  <si>
    <t>东乡村公路边</t>
  </si>
  <si>
    <t>白蒲於</t>
  </si>
  <si>
    <r>
      <rPr>
        <sz val="10"/>
        <color rgb="FF000000"/>
        <rFont val="Microsoft YaHei"/>
        <charset val="134"/>
      </rPr>
      <t>常山县辉埠镇老村</t>
    </r>
    <r>
      <rPr>
        <sz val="10"/>
        <color rgb="FF000000"/>
        <rFont val="Microsoft YaHei"/>
        <charset val="134"/>
      </rPr>
      <t>(</t>
    </r>
    <r>
      <rPr>
        <sz val="10"/>
        <color rgb="FF000000"/>
        <rFont val="Microsoft YaHei"/>
        <charset val="134"/>
      </rPr>
      <t>东鲁村</t>
    </r>
    <r>
      <rPr>
        <sz val="10"/>
        <color rgb="FF000000"/>
        <rFont val="Microsoft YaHei"/>
        <charset val="134"/>
      </rPr>
      <t>/</t>
    </r>
    <r>
      <rPr>
        <sz val="10"/>
        <color rgb="FF000000"/>
        <rFont val="Microsoft YaHei"/>
        <charset val="134"/>
      </rPr>
      <t>后社村</t>
    </r>
    <r>
      <rPr>
        <sz val="10"/>
        <color rgb="FF000000"/>
        <rFont val="Microsoft YaHei"/>
        <charset val="134"/>
      </rPr>
      <t>/</t>
    </r>
    <r>
      <rPr>
        <sz val="10"/>
        <color rgb="FF000000"/>
        <rFont val="Microsoft YaHei"/>
        <charset val="134"/>
      </rPr>
      <t>东山根村</t>
    </r>
    <r>
      <rPr>
        <sz val="10"/>
        <color rgb="FF000000"/>
        <rFont val="Microsoft YaHei"/>
        <charset val="134"/>
      </rPr>
      <t>/</t>
    </r>
    <r>
      <rPr>
        <sz val="10"/>
        <color rgb="FF000000"/>
        <rFont val="Microsoft YaHei"/>
        <charset val="134"/>
      </rPr>
      <t>五爱村</t>
    </r>
    <r>
      <rPr>
        <sz val="10"/>
        <color rgb="FF000000"/>
        <rFont val="Microsoft YaHei"/>
        <charset val="134"/>
      </rPr>
      <t>)</t>
    </r>
  </si>
  <si>
    <t>2021年1月定植</t>
  </si>
  <si>
    <t>CS0000205</t>
  </si>
  <si>
    <t>CS000020500</t>
  </si>
  <si>
    <r>
      <rPr>
        <sz val="10"/>
        <color rgb="FF000000"/>
        <rFont val="Microsoft YaHei"/>
        <charset val="134"/>
      </rPr>
      <t>常山县辉埠镇宋畈村</t>
    </r>
    <r>
      <rPr>
        <sz val="10"/>
        <color rgb="FF000000"/>
        <rFont val="Microsoft YaHei"/>
        <charset val="134"/>
      </rPr>
      <t>/</t>
    </r>
    <r>
      <rPr>
        <sz val="10"/>
        <color rgb="FF000000"/>
        <rFont val="Microsoft YaHei"/>
        <charset val="134"/>
      </rPr>
      <t>双溪口村</t>
    </r>
  </si>
  <si>
    <t>常山县辉埠镇彭川村</t>
  </si>
  <si>
    <t>2022年5月定植</t>
  </si>
  <si>
    <t>CS0000402</t>
  </si>
  <si>
    <t>CS000040200</t>
  </si>
  <si>
    <t>CS0000403</t>
  </si>
  <si>
    <t>CS000040300</t>
  </si>
  <si>
    <t>CS0000404</t>
  </si>
  <si>
    <t>CS000040400</t>
  </si>
  <si>
    <t>CS0000405</t>
  </si>
  <si>
    <t>CS000040500</t>
  </si>
  <si>
    <t>洪畈1</t>
  </si>
  <si>
    <t>CS000040501</t>
  </si>
  <si>
    <t>洪畈2</t>
  </si>
  <si>
    <t>常山县辉埠镇路里坑村</t>
  </si>
  <si>
    <t>岩石</t>
  </si>
  <si>
    <t>宋畈</t>
  </si>
  <si>
    <t>常山县辉埠镇狮东村大莲塘</t>
  </si>
  <si>
    <t>2016年8月定植</t>
  </si>
  <si>
    <t>杨柳坞老坞门</t>
  </si>
  <si>
    <t>常山县辉埠镇特畈村</t>
  </si>
  <si>
    <t>开向岭程建华</t>
  </si>
  <si>
    <t>常山县东岸乡弄坞村</t>
  </si>
  <si>
    <t>2023年11月定植</t>
  </si>
  <si>
    <t>CS000070001</t>
  </si>
  <si>
    <t>开向岭弄坞村</t>
  </si>
  <si>
    <t>常山县东岸乡前库村</t>
  </si>
  <si>
    <t>CS000080001</t>
  </si>
  <si>
    <t>常山县东岸乡朝阳村</t>
  </si>
  <si>
    <t>2024年3月定植</t>
  </si>
  <si>
    <t>CS000080002</t>
  </si>
  <si>
    <t>常山县东岸乡田蓬村</t>
  </si>
  <si>
    <t>常山县白石镇草坪村</t>
  </si>
  <si>
    <t>2017年10月定植</t>
  </si>
  <si>
    <t>CSYXG-T-002-055-063-069-084-081-065</t>
  </si>
  <si>
    <t>否</t>
  </si>
  <si>
    <t>CSYXG-T-002（954.498亩）
CSYXG-T-055（43.005亩）
CSYXG-T-063（5.1亩）
CSYXG-T-069（8.92亩）
CSYXG-T-084（12.075亩）
CSYXG-T-081（2亩）
CSYXG-T-065（2亩）</t>
  </si>
  <si>
    <t>中坊</t>
  </si>
  <si>
    <t>太古庙1</t>
  </si>
  <si>
    <t>坝仔上</t>
  </si>
  <si>
    <t>CS0010005</t>
  </si>
  <si>
    <t>西塘坳</t>
  </si>
  <si>
    <t>CS001000500</t>
  </si>
  <si>
    <t>CS0010006</t>
  </si>
  <si>
    <t>潮水蓬</t>
  </si>
  <si>
    <t>CS001000600</t>
  </si>
  <si>
    <t>CS0010007</t>
  </si>
  <si>
    <t>李家弄</t>
  </si>
  <si>
    <t>CS001000700</t>
  </si>
  <si>
    <t>CS0010008</t>
  </si>
  <si>
    <t>西塘坳水库底</t>
  </si>
  <si>
    <t>CS001000800</t>
  </si>
  <si>
    <t>CS0010009</t>
  </si>
  <si>
    <t>皇马弄</t>
  </si>
  <si>
    <t>CS001000900</t>
  </si>
  <si>
    <t>CS001000A</t>
  </si>
  <si>
    <t>塘湾弄</t>
  </si>
  <si>
    <t>CS001000A00</t>
  </si>
  <si>
    <t>CS001000B</t>
  </si>
  <si>
    <t>黄莲坞</t>
  </si>
  <si>
    <t>CS001000B00</t>
  </si>
  <si>
    <t>CS001000C</t>
  </si>
  <si>
    <t>长塘弄</t>
  </si>
  <si>
    <t>CS001000C00</t>
  </si>
  <si>
    <t>CS001000D</t>
  </si>
  <si>
    <t>CS001000D00</t>
  </si>
  <si>
    <t>CS001000E</t>
  </si>
  <si>
    <t>并岙弄</t>
  </si>
  <si>
    <t>CS001000E00</t>
  </si>
  <si>
    <t>CS001000F</t>
  </si>
  <si>
    <t>时边</t>
  </si>
  <si>
    <t>CS001000F00</t>
  </si>
  <si>
    <t>CS001000G</t>
  </si>
  <si>
    <t>林塘坝</t>
  </si>
  <si>
    <t>CS001000G00</t>
  </si>
  <si>
    <t>CS001000H</t>
  </si>
  <si>
    <t>门前</t>
  </si>
  <si>
    <t>CS001000H00</t>
  </si>
  <si>
    <t>CS001000I</t>
  </si>
  <si>
    <t>CS001000I00</t>
  </si>
  <si>
    <t>CS001000J</t>
  </si>
  <si>
    <t>CS001000J00</t>
  </si>
  <si>
    <t>CS001000K</t>
  </si>
  <si>
    <t>双溪坝</t>
  </si>
  <si>
    <t>CS001000K00</t>
  </si>
  <si>
    <t>CS001000L</t>
  </si>
  <si>
    <t>CS001000L00</t>
  </si>
  <si>
    <t>狗屎亭1</t>
  </si>
  <si>
    <t>CS001000M</t>
  </si>
  <si>
    <t>CS001000M00</t>
  </si>
  <si>
    <t>2017年11月定植</t>
  </si>
  <si>
    <t>CS001000N</t>
  </si>
  <si>
    <t>CS001000N00</t>
  </si>
  <si>
    <t>CS001000O</t>
  </si>
  <si>
    <t>CS001000O00</t>
  </si>
  <si>
    <t>仓坞1-15</t>
  </si>
  <si>
    <t>常山县白石镇小白石村</t>
  </si>
  <si>
    <t>外弄</t>
  </si>
  <si>
    <t>外弄1 -15</t>
  </si>
  <si>
    <t>外弄2 -16</t>
  </si>
  <si>
    <t>外弄3-17</t>
  </si>
  <si>
    <t>外弄4 -20</t>
  </si>
  <si>
    <t>外弄5-26</t>
  </si>
  <si>
    <t>CS001010105</t>
  </si>
  <si>
    <t>外弄6-29</t>
  </si>
  <si>
    <t>CS001010106</t>
  </si>
  <si>
    <t>外弄7-24</t>
  </si>
  <si>
    <t>CS001010107</t>
  </si>
  <si>
    <t>外弄8-28</t>
  </si>
  <si>
    <t>CS001010108</t>
  </si>
  <si>
    <t>外弄9-25</t>
  </si>
  <si>
    <t>新亭岭</t>
  </si>
  <si>
    <t>新亭岭3-18</t>
  </si>
  <si>
    <t>白塘-27</t>
  </si>
  <si>
    <t>山上停车场</t>
  </si>
  <si>
    <t>山上停车场1-21</t>
  </si>
  <si>
    <t>CS001010501</t>
  </si>
  <si>
    <t>山上停车场2（2亩）</t>
  </si>
  <si>
    <t>陈坞1（刘冬）</t>
  </si>
  <si>
    <t>CS001010601</t>
  </si>
  <si>
    <t>陈坞2（1.33亩）</t>
  </si>
  <si>
    <t>CSYXG-T-097</t>
  </si>
  <si>
    <t>泥鳅坞（蜜桔园）</t>
  </si>
  <si>
    <t>CS001010004</t>
  </si>
  <si>
    <t>CSYXG-T-001（100亩）
CSYXG-T-003（157.55亩）
CSYXG-T-058（3.5亩）
CSYXG-T-059（0.21亩）
CSYXG-T-061（1亩）
CSYXG-T-064（3.5亩）
CSYXG-T-065（2亩）
CSYXG-T-078（1.5亩）
CSYXG-T-081（2亩）
CSYXG-T-101（0.22亩）
CSYXG-T-107（1.5亩）
CSYXG-T-108（0.45亩）</t>
  </si>
  <si>
    <t>CS001010109</t>
  </si>
  <si>
    <t>CS001010303</t>
  </si>
  <si>
    <t>葛坞山2（徐三都）</t>
  </si>
  <si>
    <r>
      <rPr>
        <sz val="10"/>
        <color rgb="FF000000"/>
        <rFont val="Microsoft YaHei"/>
        <charset val="134"/>
      </rPr>
      <t>常山县金川街道</t>
    </r>
    <r>
      <rPr>
        <sz val="10"/>
        <color rgb="FF000000"/>
        <rFont val="Microsoft YaHei"/>
        <charset val="134"/>
      </rPr>
      <t>/</t>
    </r>
    <r>
      <rPr>
        <sz val="10"/>
        <color rgb="FF000000"/>
        <rFont val="Microsoft YaHei"/>
        <charset val="134"/>
      </rPr>
      <t>天安村</t>
    </r>
  </si>
  <si>
    <t>2015年10月定植</t>
  </si>
  <si>
    <t>CS001020001</t>
  </si>
  <si>
    <t>葛坞山3（毛樟良）</t>
  </si>
  <si>
    <t>CS001020002</t>
  </si>
  <si>
    <t>葛坞山4（傅克良）</t>
  </si>
  <si>
    <t>CS001020003</t>
  </si>
  <si>
    <t>葛坞山5（林田有）</t>
  </si>
  <si>
    <t>CS001020004</t>
  </si>
  <si>
    <t>葛坞山6（林田能）</t>
  </si>
  <si>
    <t>CS001020005</t>
  </si>
  <si>
    <t>葛坞山7（郑恒福）</t>
  </si>
  <si>
    <t>CS001020006</t>
  </si>
  <si>
    <t>葛坞山8（郑恒才）</t>
  </si>
  <si>
    <t>板桥弄（3.67亩）</t>
  </si>
  <si>
    <t>松山背</t>
  </si>
  <si>
    <t>大连塘</t>
  </si>
  <si>
    <t>葛坞(14.28)</t>
  </si>
  <si>
    <t>2020年3月-2023年3月定植</t>
  </si>
  <si>
    <t>CS001020501</t>
  </si>
  <si>
    <t>板桥弄(9.18)</t>
  </si>
  <si>
    <t>百亩坑</t>
  </si>
  <si>
    <t>葛坞山（81.12)</t>
  </si>
  <si>
    <t>CS001020601</t>
  </si>
  <si>
    <t>板桥弄(3.22)</t>
  </si>
  <si>
    <t>CS001020602</t>
  </si>
  <si>
    <t>板桥弄(2.86)</t>
  </si>
  <si>
    <t>CS001020603</t>
  </si>
  <si>
    <t>板桥弄(84.07)</t>
  </si>
  <si>
    <t>周家园育苗中心</t>
  </si>
  <si>
    <t>/</t>
  </si>
  <si>
    <t>罗汉坞(苏家科)</t>
  </si>
  <si>
    <t>常山县白石镇新塘岭村</t>
  </si>
  <si>
    <t>2019年12月-2020年3月定植</t>
  </si>
  <si>
    <t>CS0020002</t>
  </si>
  <si>
    <t>刘家坞</t>
  </si>
  <si>
    <t>CS002000200</t>
  </si>
  <si>
    <t>苏家科(罗汉坞)</t>
  </si>
  <si>
    <t>CS0020004</t>
  </si>
  <si>
    <t>CS002000401</t>
  </si>
  <si>
    <t>龚石海</t>
  </si>
  <si>
    <t>CS002000402</t>
  </si>
  <si>
    <t>范水善</t>
  </si>
  <si>
    <t>CS002000403</t>
  </si>
  <si>
    <t>徐利平</t>
  </si>
  <si>
    <t>CS002000404</t>
  </si>
  <si>
    <t>余作才徐法英</t>
  </si>
  <si>
    <t>CSYXG-T-127 CSYXG-T-128</t>
  </si>
  <si>
    <t>CS0020006</t>
  </si>
  <si>
    <t>CS002000600</t>
  </si>
  <si>
    <t>下西塘（官家)</t>
  </si>
  <si>
    <t>CS002000601</t>
  </si>
  <si>
    <t>CSYXG-T-122 CSYXG-T-117
CSYXG-T-118 CSYXG-T-119</t>
  </si>
  <si>
    <t>CS0020007</t>
  </si>
  <si>
    <t>官家</t>
  </si>
  <si>
    <t>CS002000700</t>
  </si>
  <si>
    <t>官家(下西塘）</t>
  </si>
  <si>
    <t>菜坞1</t>
  </si>
  <si>
    <t>常山县白石镇曹会关村</t>
  </si>
  <si>
    <t>2018年10月-2024年2月定植</t>
  </si>
  <si>
    <t>菜坞2</t>
  </si>
  <si>
    <t>CS002010002</t>
  </si>
  <si>
    <t>菜坞3</t>
  </si>
  <si>
    <t>CS002010003</t>
  </si>
  <si>
    <t>菜坞4</t>
  </si>
  <si>
    <t>天师井</t>
  </si>
  <si>
    <t>天师井1</t>
  </si>
  <si>
    <t>CS002010101</t>
  </si>
  <si>
    <t>天师井2</t>
  </si>
  <si>
    <t>天师井3</t>
  </si>
  <si>
    <t>天师井4</t>
  </si>
  <si>
    <t>天师井5</t>
  </si>
  <si>
    <t>天师井6</t>
  </si>
  <si>
    <t>天师井7</t>
  </si>
  <si>
    <t>天师井8</t>
  </si>
  <si>
    <t>天师井9</t>
  </si>
  <si>
    <t>天师井10</t>
  </si>
  <si>
    <t>天师井11</t>
  </si>
  <si>
    <t>樟坞</t>
  </si>
  <si>
    <t>樟坞1</t>
  </si>
  <si>
    <t>CS002010301</t>
  </si>
  <si>
    <t>樟坞2</t>
  </si>
  <si>
    <t>CS002010302</t>
  </si>
  <si>
    <t>樟坞3</t>
  </si>
  <si>
    <t>老村委</t>
  </si>
  <si>
    <t>西山排1</t>
  </si>
  <si>
    <t>常山县白石镇白石村</t>
  </si>
  <si>
    <t>2024年2月定植</t>
  </si>
  <si>
    <t>西山排2</t>
  </si>
  <si>
    <t>天师井12</t>
  </si>
  <si>
    <t>天师井13</t>
  </si>
  <si>
    <t>天师井14</t>
  </si>
  <si>
    <t>天师井15</t>
  </si>
  <si>
    <t>天师井16</t>
  </si>
  <si>
    <t>天师井17</t>
  </si>
  <si>
    <t>天师井18</t>
  </si>
  <si>
    <t>天师井19</t>
  </si>
  <si>
    <t>樟坞口1</t>
  </si>
  <si>
    <t>樟坞口2</t>
  </si>
  <si>
    <t>三里亭1</t>
  </si>
  <si>
    <t>常山县金川街道五里亭村</t>
  </si>
  <si>
    <t>2019年10月-2020年5月定植</t>
  </si>
  <si>
    <t>三里亭2</t>
  </si>
  <si>
    <t>CS002020002</t>
  </si>
  <si>
    <t>三里亭3</t>
  </si>
  <si>
    <t>CS002020003</t>
  </si>
  <si>
    <t>三里亭水库</t>
  </si>
  <si>
    <t>五里亭1</t>
  </si>
  <si>
    <t>五里亭2</t>
  </si>
  <si>
    <t>五里亭金家窝</t>
  </si>
  <si>
    <t>学堂山（常桥村）</t>
  </si>
  <si>
    <t>CSYXG-T-099,CSYXG-T-042</t>
  </si>
  <si>
    <t>阳光名都</t>
  </si>
  <si>
    <t>CS0020207</t>
  </si>
  <si>
    <t>CS002020700</t>
  </si>
  <si>
    <t>CS0020208</t>
  </si>
  <si>
    <t>CS002020800</t>
  </si>
  <si>
    <t>仓坞地块2.12</t>
  </si>
  <si>
    <t>明清坞1</t>
  </si>
  <si>
    <t>常山县天马街道天安村</t>
  </si>
  <si>
    <t>CS002030001</t>
  </si>
  <si>
    <t>明清坞2</t>
  </si>
  <si>
    <t>CSYXG-T-043,CSYXG-T-125</t>
  </si>
  <si>
    <t>下畈1</t>
  </si>
  <si>
    <t>CS002030101</t>
  </si>
  <si>
    <t>下畈2</t>
  </si>
  <si>
    <t>蚂蝗弄</t>
  </si>
  <si>
    <t>CS0020305</t>
  </si>
  <si>
    <t>CS002030500</t>
  </si>
  <si>
    <t>黄家店1</t>
  </si>
  <si>
    <t>CS002030501</t>
  </si>
  <si>
    <t>黄家店2</t>
  </si>
  <si>
    <t>黄家店3</t>
  </si>
  <si>
    <t>明清坞地块29.45</t>
  </si>
  <si>
    <t>下畈地块2.73</t>
  </si>
  <si>
    <t>下畈地块1.8</t>
  </si>
  <si>
    <t>下畈地块1.47</t>
  </si>
  <si>
    <t>下畈地块3.94</t>
  </si>
  <si>
    <t>下畈地块2.36</t>
  </si>
  <si>
    <t>下畈地块12.7</t>
  </si>
  <si>
    <t>明清坞地块10.4</t>
  </si>
  <si>
    <t>常山县天马街道和平村</t>
  </si>
  <si>
    <t>2020年4月-2021年12月定植</t>
  </si>
  <si>
    <t>CS0020405</t>
  </si>
  <si>
    <t>CS002040500</t>
  </si>
  <si>
    <t>CS0020409</t>
  </si>
  <si>
    <t>CS002040900</t>
  </si>
  <si>
    <t>CS002040A</t>
  </si>
  <si>
    <t>CS002040A00</t>
  </si>
  <si>
    <t>茶叶山1</t>
  </si>
  <si>
    <t>茶叶山2</t>
  </si>
  <si>
    <t>茶叶山3</t>
  </si>
  <si>
    <t>CSYXG-T-061</t>
  </si>
  <si>
    <t>茶叶山4</t>
  </si>
  <si>
    <t>茶叶山5</t>
  </si>
  <si>
    <t>黄金垄2</t>
  </si>
  <si>
    <t>何家山2</t>
  </si>
  <si>
    <t>何家山3</t>
  </si>
  <si>
    <t>野猪山2</t>
  </si>
  <si>
    <t>何家山4</t>
  </si>
  <si>
    <t>茶叶山6</t>
  </si>
  <si>
    <t>茶叶山7</t>
  </si>
  <si>
    <t>茶叶山8</t>
  </si>
  <si>
    <t>茶叶山9</t>
  </si>
  <si>
    <t>2020年4月-2023年3月定植</t>
  </si>
  <si>
    <t>袁家塘</t>
  </si>
  <si>
    <t>梁山树下38.11</t>
  </si>
  <si>
    <t>虎头山1</t>
  </si>
  <si>
    <t>茶坞1</t>
  </si>
  <si>
    <t>CS002050401</t>
  </si>
  <si>
    <t>茶坞2</t>
  </si>
  <si>
    <t>羊岙水库</t>
  </si>
  <si>
    <t>CSYXG-T-103</t>
  </si>
  <si>
    <t>CS0020601</t>
  </si>
  <si>
    <t>CS002060100</t>
  </si>
  <si>
    <t>同弓小学边上同弓苗地21.89亩</t>
  </si>
  <si>
    <t>常山县同弓乡竹亭路68号</t>
  </si>
  <si>
    <t>2025年3月种植</t>
  </si>
  <si>
    <t>G60高速边上同弓苗地55.9亩</t>
  </si>
  <si>
    <t>东面地块1 0.4亩</t>
  </si>
  <si>
    <t>常山县同弓乡509县道</t>
  </si>
  <si>
    <t>CS003010001</t>
  </si>
  <si>
    <t>东面地块2 0.1亩</t>
  </si>
  <si>
    <t>CS0030101</t>
  </si>
  <si>
    <t>CS003010100</t>
  </si>
  <si>
    <t>南面地块1 18.6亩</t>
  </si>
  <si>
    <t>CS003010101</t>
  </si>
  <si>
    <t>南面地块2 18.6亩</t>
  </si>
  <si>
    <t>CS0030102</t>
  </si>
  <si>
    <t>CS003010200</t>
  </si>
  <si>
    <t>原青林农场地块 275.292亩</t>
  </si>
  <si>
    <t>同弓高换基地 84亩</t>
  </si>
  <si>
    <t>常山县同弓乡中和村</t>
  </si>
  <si>
    <t>武胜县万善镇羊城村11组</t>
  </si>
  <si>
    <t>2024年3月高接换种</t>
  </si>
  <si>
    <t>299.09</t>
  </si>
  <si>
    <t>宝箴塞镇</t>
  </si>
  <si>
    <t>武胜县宝箴塞镇农山村</t>
  </si>
  <si>
    <t>2025年4月高接换种</t>
  </si>
  <si>
    <t>武胜县宝箴塞镇金斧村</t>
  </si>
  <si>
    <t>武胜县胜利镇穿岩村</t>
  </si>
  <si>
    <t>武胜县万善镇桂花湾村</t>
  </si>
  <si>
    <t>WS000010001</t>
  </si>
  <si>
    <t>WS000010002</t>
  </si>
  <si>
    <t>武胜县万善镇石院墙村</t>
  </si>
  <si>
    <t>唐富强|吴俊宏</t>
  </si>
  <si>
    <t>武胜县赛马镇尼姑庵村</t>
  </si>
  <si>
    <t>WS00003</t>
  </si>
  <si>
    <t>WS0000300</t>
  </si>
  <si>
    <t>WS000030000</t>
  </si>
  <si>
    <t>武胜县万善镇吊楼村</t>
  </si>
  <si>
    <t>WS00004</t>
  </si>
  <si>
    <t>WS0000400</t>
  </si>
  <si>
    <t>WS000040000</t>
  </si>
  <si>
    <t>武胜县胜利镇桥亭村</t>
  </si>
  <si>
    <t>WS00006</t>
  </si>
  <si>
    <t>WS0000600</t>
  </si>
  <si>
    <t>WS000060000</t>
  </si>
  <si>
    <t>武胜县三溪镇观音桥村</t>
  </si>
  <si>
    <t>2025年3月定植</t>
  </si>
  <si>
    <t>武胜县三溪镇沈家龙村</t>
  </si>
  <si>
    <t>WS00007</t>
  </si>
  <si>
    <t>WS0000700</t>
  </si>
  <si>
    <t>WS000070000</t>
  </si>
  <si>
    <t>WS00008</t>
  </si>
  <si>
    <t>WS0000800</t>
  </si>
  <si>
    <t>WS000080000</t>
  </si>
  <si>
    <t>何林</t>
  </si>
  <si>
    <t>WS00009</t>
  </si>
  <si>
    <t>三溪苗圃</t>
  </si>
  <si>
    <t>WS0000900</t>
  </si>
  <si>
    <t>WS000090000</t>
  </si>
  <si>
    <t>三溪苗圃100亩</t>
  </si>
  <si>
    <t>WS0000A</t>
  </si>
  <si>
    <t>WS0000A00</t>
  </si>
  <si>
    <t>WS0000A0000</t>
  </si>
  <si>
    <t>武胜县胜利镇嘉乐村</t>
  </si>
  <si>
    <t>武胜县金牛镇望乡坪村</t>
  </si>
  <si>
    <t>WS00102</t>
  </si>
  <si>
    <t>WS0010200</t>
  </si>
  <si>
    <t>WS001020000</t>
  </si>
  <si>
    <t>武胜县胜利镇吊井龙村</t>
  </si>
  <si>
    <t>2024年4月高接换种</t>
  </si>
  <si>
    <t>WS00103</t>
  </si>
  <si>
    <t>WS0010300</t>
  </si>
  <si>
    <t>WS001030000</t>
  </si>
  <si>
    <t>武胜县胜利镇双埝村</t>
  </si>
  <si>
    <t>李勤山|陆双喜</t>
  </si>
  <si>
    <t>武胜县胜利镇观音塘村</t>
  </si>
  <si>
    <t>WS0020001</t>
  </si>
  <si>
    <t>WS002000100</t>
  </si>
  <si>
    <t>阮成文|叶德斌</t>
  </si>
  <si>
    <t>WS003000001</t>
  </si>
  <si>
    <t>WS0030001</t>
  </si>
  <si>
    <t>WS003000100</t>
  </si>
  <si>
    <t>储成杰|汤逸</t>
  </si>
  <si>
    <t>WS004000001</t>
  </si>
  <si>
    <t>WS004000002</t>
  </si>
  <si>
    <t>武胜县胜利镇五谷湾村</t>
  </si>
  <si>
    <t>WS004000003</t>
  </si>
  <si>
    <t>武胜县胜利镇复兴村</t>
  </si>
  <si>
    <t>WS004000004</t>
  </si>
  <si>
    <t>武胜县胜利镇保安村4组</t>
  </si>
  <si>
    <t>李岳云|金小灵</t>
  </si>
  <si>
    <t>武胜县中心镇象鼻村</t>
  </si>
  <si>
    <t>王云中|屠凤花|王钏</t>
  </si>
  <si>
    <t>武胜县街子镇九湾村</t>
  </si>
  <si>
    <t>2024年3月高接换种及24年6月定植</t>
  </si>
  <si>
    <t>WS006000001</t>
  </si>
  <si>
    <t>九湾2-500亩</t>
  </si>
  <si>
    <t>WS006000002</t>
  </si>
  <si>
    <t>九湾3-472亩</t>
  </si>
  <si>
    <t>武胜县街子镇龙兴村3组</t>
  </si>
  <si>
    <t>WS007000001</t>
  </si>
  <si>
    <t>WS00701</t>
  </si>
  <si>
    <t>郑宁|陶坤和</t>
  </si>
  <si>
    <t>WS0070100</t>
  </si>
  <si>
    <t>WS007010000</t>
  </si>
  <si>
    <t>武胜县沿口镇金狮村</t>
  </si>
  <si>
    <t>WS007010001</t>
  </si>
  <si>
    <t>金狮2-10.23亩</t>
  </si>
  <si>
    <t>WS007010002</t>
  </si>
  <si>
    <t>天灯堡342.59亩，减去16.58亩</t>
  </si>
  <si>
    <t>武胜县沿口镇天灯堡村</t>
  </si>
  <si>
    <t>WS00702</t>
  </si>
  <si>
    <t>WS0070200</t>
  </si>
  <si>
    <t>WS007020000</t>
  </si>
  <si>
    <t>武胜县鸣钟镇小寨村</t>
  </si>
  <si>
    <t>WS007020001</t>
  </si>
  <si>
    <t>小寨2-6.29亩</t>
  </si>
  <si>
    <t>HTSPCCGXS-202505-0037</t>
  </si>
  <si>
    <t>WS007020002</t>
  </si>
  <si>
    <t>龙鳌1-266亩</t>
  </si>
  <si>
    <t>HTSPCCGXS-202411-0010</t>
  </si>
  <si>
    <t>WS007020003</t>
  </si>
  <si>
    <t>龙鳌2-49.88亩</t>
  </si>
  <si>
    <t>HTSPCCGXS-202505-0038</t>
  </si>
  <si>
    <t>WS0000B</t>
  </si>
  <si>
    <t>WS0000B00</t>
  </si>
  <si>
    <t>WS0000B0000</t>
  </si>
  <si>
    <t>武胜县鸣钟镇中华村</t>
  </si>
  <si>
    <t>武胜县清平镇陈家寨村</t>
  </si>
  <si>
    <t>WS00802</t>
  </si>
  <si>
    <t>WS0080200</t>
  </si>
  <si>
    <t>WS008020000</t>
  </si>
  <si>
    <t>WS00803</t>
  </si>
  <si>
    <t>WS0080300</t>
  </si>
  <si>
    <t>WS008030000</t>
  </si>
  <si>
    <t>武胜县清平镇华家坪村</t>
  </si>
  <si>
    <t>WS00104</t>
  </si>
  <si>
    <t>李胜刚</t>
  </si>
  <si>
    <t>WS0010400</t>
  </si>
  <si>
    <t>WS001040000</t>
  </si>
  <si>
    <t>武胜县清平镇会云村</t>
  </si>
  <si>
    <t>WS0010401</t>
  </si>
  <si>
    <t>WS001040100</t>
  </si>
  <si>
    <t>武胜县清平镇大堡村</t>
  </si>
  <si>
    <t>WS00105</t>
  </si>
  <si>
    <t>WS0010500</t>
  </si>
  <si>
    <t>WS001050001</t>
  </si>
  <si>
    <t>武胜县清平镇涌泉村</t>
  </si>
  <si>
    <t>2024年10月定植</t>
  </si>
  <si>
    <t>万隆镇</t>
  </si>
  <si>
    <t>WS0010501</t>
  </si>
  <si>
    <t>罗湾</t>
  </si>
  <si>
    <t>WS001050100</t>
  </si>
  <si>
    <t>罗湾110.443亩</t>
  </si>
  <si>
    <t>武胜县万隆镇罗湾村</t>
  </si>
  <si>
    <t>HTSPCCGXS-202411-0138</t>
  </si>
  <si>
    <t>WS001050000</t>
  </si>
  <si>
    <t>会云村125.84亩</t>
  </si>
  <si>
    <t>HTSPCCGXS-202503-0076</t>
  </si>
  <si>
    <t>WS001050002</t>
  </si>
  <si>
    <t>会云1-2.18亩</t>
  </si>
  <si>
    <t>HTSPCCGXS-202407-0077</t>
  </si>
  <si>
    <t>WS001050003</t>
  </si>
  <si>
    <t>会云2-2.74亩</t>
  </si>
  <si>
    <t>HTSPCCGXS-202407-0100</t>
  </si>
  <si>
    <t>WS001050004</t>
  </si>
  <si>
    <t>会云3-2.12亩</t>
  </si>
  <si>
    <t>HTSPCCGXS-202407-0090</t>
  </si>
  <si>
    <t>WS001050005</t>
  </si>
  <si>
    <t>会云4-3.25亩</t>
  </si>
  <si>
    <t>HTSPCCGXS-202407-0089</t>
  </si>
  <si>
    <t>WS001050006</t>
  </si>
  <si>
    <t>会云5-4.94亩</t>
  </si>
  <si>
    <t>HTSPCCGXS-202407-0088</t>
  </si>
  <si>
    <t>WS001050007</t>
  </si>
  <si>
    <t>会云6-0.67亩</t>
  </si>
  <si>
    <t>HTSPCCGXS-202407-0078</t>
  </si>
  <si>
    <t>WS001050008</t>
  </si>
  <si>
    <t>会云7-2.6亩</t>
  </si>
  <si>
    <t>HTSPCCGXS-202407-0087</t>
  </si>
  <si>
    <t>WS001050009</t>
  </si>
  <si>
    <t>会云8-4.81亩</t>
  </si>
  <si>
    <t>HTSPCCGXS-202407-0079</t>
  </si>
  <si>
    <t>WS00105000A</t>
  </si>
  <si>
    <t>会云9-0.19亩</t>
  </si>
  <si>
    <t>HTSPCCGXS-202407-0085</t>
  </si>
  <si>
    <t>WS00105000B</t>
  </si>
  <si>
    <t>会云10-0.45亩</t>
  </si>
  <si>
    <t>HTSPCCGXS-202407-0084</t>
  </si>
  <si>
    <t>WS00105000C</t>
  </si>
  <si>
    <t>会云11-0.55亩</t>
  </si>
  <si>
    <t>HTSPCCGXS-202407-0083</t>
  </si>
  <si>
    <t>WS00105000D</t>
  </si>
  <si>
    <t>会云12-1亩</t>
  </si>
  <si>
    <t>HTSPCCGXS-202407-0082</t>
  </si>
  <si>
    <t>WS00105000E</t>
  </si>
  <si>
    <t>会云13-0.31亩</t>
  </si>
  <si>
    <t>HTSPCCGXS-202407-0080</t>
  </si>
  <si>
    <t>WS00105000F</t>
  </si>
  <si>
    <t>会云14-0.66亩</t>
  </si>
  <si>
    <t>HTSPCCGXS-202407-0081</t>
  </si>
  <si>
    <t>WS00105000G</t>
  </si>
  <si>
    <t>会云15-4.95亩</t>
  </si>
  <si>
    <t>HTSPCCGXS-202407-0086</t>
  </si>
  <si>
    <t>WS00106</t>
  </si>
  <si>
    <t>WS0010600</t>
  </si>
  <si>
    <t>WS001060000</t>
  </si>
  <si>
    <t>武胜县清平镇方沟村</t>
  </si>
  <si>
    <t>2024年6月定植</t>
  </si>
  <si>
    <t>WS001060001</t>
  </si>
  <si>
    <t>武胜县龙女镇幸福村4</t>
  </si>
  <si>
    <t>2024年7月高接换种</t>
  </si>
  <si>
    <t>WS009000001</t>
  </si>
  <si>
    <t>武胜县龙女镇幸福村2</t>
  </si>
  <si>
    <t>WS009000002</t>
  </si>
  <si>
    <t>武胜县龙女镇幸福村</t>
  </si>
  <si>
    <t>WS009000003</t>
  </si>
  <si>
    <t>修路新增</t>
  </si>
  <si>
    <t>武胜县赛马镇花墙村</t>
  </si>
  <si>
    <t>WS009010001</t>
  </si>
  <si>
    <t>WS00501</t>
  </si>
  <si>
    <t>WS0050100</t>
  </si>
  <si>
    <t>WS005010000</t>
  </si>
  <si>
    <t>武胜县赛马镇天星桥村</t>
  </si>
  <si>
    <t>WS005010001</t>
  </si>
  <si>
    <t>王吉维|蒋荣强</t>
  </si>
  <si>
    <t>武胜县赛马镇应家沟村</t>
  </si>
  <si>
    <t>武胜县赛马镇李子坑村</t>
  </si>
  <si>
    <t>24年高换200亩，2024年10月及25年3月定植245亩</t>
  </si>
  <si>
    <t>WS00A010001</t>
  </si>
  <si>
    <t>2024年6月及9月定植</t>
  </si>
  <si>
    <t>WS00A010002</t>
  </si>
  <si>
    <t>武胜县赛马镇永钟村</t>
  </si>
  <si>
    <t>WS00A010003</t>
  </si>
  <si>
    <t>武胜县赛马镇堰塘湾村</t>
  </si>
  <si>
    <t>姜洪君|徐忠</t>
  </si>
  <si>
    <t>武胜县飞龙镇木井村</t>
  </si>
  <si>
    <t>WS00A03</t>
  </si>
  <si>
    <t>汪皓|徐强</t>
  </si>
  <si>
    <t>WS00A0300</t>
  </si>
  <si>
    <t>WS00A030000</t>
  </si>
  <si>
    <t>WS00A04</t>
  </si>
  <si>
    <t>WS00A0400</t>
  </si>
  <si>
    <t>WS00A040000</t>
  </si>
  <si>
    <t>2025年5月定植</t>
  </si>
  <si>
    <t>田林县旧州镇平林村</t>
  </si>
  <si>
    <t>2024年4月份种植</t>
  </si>
  <si>
    <t>637</t>
  </si>
  <si>
    <t>BS000000001</t>
  </si>
  <si>
    <t>BS000000002</t>
  </si>
  <si>
    <t>BS000000003</t>
  </si>
  <si>
    <t>BS000000004</t>
  </si>
  <si>
    <t>2025年7月份种植</t>
  </si>
  <si>
    <t>BS000000005</t>
  </si>
  <si>
    <t>BS000000006</t>
  </si>
  <si>
    <t>BS000000007</t>
  </si>
  <si>
    <t>BS000000008</t>
  </si>
  <si>
    <t>右江区大楞乡龙细村</t>
  </si>
  <si>
    <t>重庆市</t>
  </si>
  <si>
    <t>重庆郊县</t>
  </si>
  <si>
    <t>酉阳土家族苗族自治县</t>
  </si>
  <si>
    <t>酉水河镇</t>
  </si>
  <si>
    <t>重庆酉阳柚香谷农业公司</t>
  </si>
  <si>
    <t>YY0</t>
  </si>
  <si>
    <t>重庆酉阳</t>
  </si>
  <si>
    <t>YY000</t>
  </si>
  <si>
    <t>江正国</t>
  </si>
  <si>
    <t>YY00000</t>
  </si>
  <si>
    <t>后溪</t>
  </si>
  <si>
    <t>YY0000000</t>
  </si>
  <si>
    <t>YY000000000</t>
  </si>
  <si>
    <t>后溪村</t>
  </si>
  <si>
    <t>酉阳县酉水河镇后溪村</t>
  </si>
  <si>
    <t>2024年4月高接换种，25年新种</t>
  </si>
  <si>
    <t>HTSPCCGXS-202501-0061</t>
  </si>
  <si>
    <t>YY001</t>
  </si>
  <si>
    <t>陈祥杰合作区</t>
  </si>
  <si>
    <t>YY00100</t>
  </si>
  <si>
    <t>大地</t>
  </si>
  <si>
    <t>YY0010000</t>
  </si>
  <si>
    <t>YY001000000</t>
  </si>
  <si>
    <t>大地村1</t>
  </si>
  <si>
    <t>酉阳县酉水河镇大地村</t>
  </si>
  <si>
    <t>2025年3月嫁接，12月新种</t>
  </si>
  <si>
    <t>HTSPCCGXS-202509-0005</t>
  </si>
  <si>
    <t>YY001000001</t>
  </si>
  <si>
    <t>大地村2</t>
  </si>
  <si>
    <t>HTSPCCGXS-202504-5019</t>
  </si>
  <si>
    <t>YY001000002</t>
  </si>
  <si>
    <t>大地村3</t>
  </si>
  <si>
    <t>HTSPCCGXS-202504-5021</t>
  </si>
  <si>
    <t>YY001000003</t>
  </si>
  <si>
    <t>大地村4</t>
  </si>
  <si>
    <t>HTSPCCGXS-202504-5018</t>
  </si>
  <si>
    <t>酉酬镇</t>
  </si>
  <si>
    <t>余恒军</t>
  </si>
  <si>
    <t>YY00001</t>
  </si>
  <si>
    <t>溪口</t>
  </si>
  <si>
    <t>YY0000100</t>
  </si>
  <si>
    <t>YY000010000</t>
  </si>
  <si>
    <t>江西湾</t>
  </si>
  <si>
    <t>酉阳县酉酬镇江西湾村</t>
  </si>
  <si>
    <t>2025年3月高接换种</t>
  </si>
  <si>
    <t>HTSPCCGXS-202503-0002</t>
  </si>
  <si>
    <t>YY000010001</t>
  </si>
  <si>
    <t>古田村</t>
  </si>
  <si>
    <t>酉阳县酉酬镇古田村</t>
  </si>
  <si>
    <t>HTSPCCGXS-202503-0003</t>
  </si>
  <si>
    <t>YY000010002</t>
  </si>
  <si>
    <t>溪口村</t>
  </si>
  <si>
    <t>酉阳县酉酬镇溪口村</t>
  </si>
  <si>
    <t>HTSPCCGXS-202503-0036</t>
  </si>
  <si>
    <t>YY002</t>
  </si>
  <si>
    <t>朱晓洁合作区</t>
  </si>
  <si>
    <t>何必强</t>
  </si>
  <si>
    <t>YY00200</t>
  </si>
  <si>
    <t>水田</t>
  </si>
  <si>
    <t>YY0020000</t>
  </si>
  <si>
    <t>YY002000000</t>
  </si>
  <si>
    <t>水田村</t>
  </si>
  <si>
    <t>酉阳县酉酬镇水田村</t>
  </si>
  <si>
    <t>HTSPCCGXS-202503-0005</t>
  </si>
  <si>
    <t>偏柏乡</t>
  </si>
  <si>
    <t>YY003</t>
  </si>
  <si>
    <t>刘然/肖学祥合作区</t>
  </si>
  <si>
    <t>YY00300</t>
  </si>
  <si>
    <t>鱼水村</t>
  </si>
  <si>
    <t>YY0030000</t>
  </si>
  <si>
    <t>鱼水</t>
  </si>
  <si>
    <t>YY003000000</t>
  </si>
  <si>
    <t>鱼水村1</t>
  </si>
  <si>
    <t>酉阳县偏柏乡水田村</t>
  </si>
  <si>
    <t>HTSPCCGXS-202503-0007</t>
  </si>
  <si>
    <t>YY003000001</t>
  </si>
  <si>
    <t>鱼水村2</t>
  </si>
  <si>
    <t>HTSPCCGXS-202503-0008</t>
  </si>
  <si>
    <t>YY003000002</t>
  </si>
  <si>
    <t>鱼水村3</t>
  </si>
  <si>
    <t>HTSPCCGXS-202503-0006</t>
  </si>
  <si>
    <t>腴地乡</t>
  </si>
  <si>
    <t>YY004</t>
  </si>
  <si>
    <t>兰重举/肖学祥</t>
  </si>
  <si>
    <t>刘璞</t>
  </si>
  <si>
    <t>YY00400</t>
  </si>
  <si>
    <t>下腴</t>
  </si>
  <si>
    <t>王大志</t>
  </si>
  <si>
    <t>YY0040000</t>
  </si>
  <si>
    <t>YY004000000</t>
  </si>
  <si>
    <t>酉阳县腴地乡下腴村</t>
  </si>
  <si>
    <t>2025年3月定植、12月新种</t>
  </si>
  <si>
    <t>HTSPCCGXS-202506-0115</t>
  </si>
  <si>
    <t>麻旺镇</t>
  </si>
  <si>
    <t>YY00301</t>
  </si>
  <si>
    <t>平桥</t>
  </si>
  <si>
    <t>YY0030100</t>
  </si>
  <si>
    <t>YY003010000</t>
  </si>
  <si>
    <t>酉阳县麻旺镇平桥村</t>
  </si>
  <si>
    <t>2024年4月定植、25年12月新种</t>
  </si>
  <si>
    <t>HTSPCCGXS-202512-0031</t>
  </si>
  <si>
    <t>YY00002</t>
  </si>
  <si>
    <t>桂香</t>
  </si>
  <si>
    <t>YY0000200</t>
  </si>
  <si>
    <t>YY000020000</t>
  </si>
  <si>
    <t>酉阳县麻旺镇桂香村</t>
  </si>
  <si>
    <t>2025年4月高接换种、12月新种</t>
  </si>
  <si>
    <t>HTSPCCGXS-202503-0004</t>
  </si>
  <si>
    <t>清泉乡</t>
  </si>
  <si>
    <t>彭昌特</t>
  </si>
  <si>
    <t>YY00003</t>
  </si>
  <si>
    <t>清溪</t>
  </si>
  <si>
    <t>YY0000300</t>
  </si>
  <si>
    <t>YY000030000</t>
  </si>
  <si>
    <t>清溪1</t>
  </si>
  <si>
    <t>酉阳县清泉乡清溪村2组</t>
  </si>
  <si>
    <t>2025年3月、11月定植</t>
  </si>
  <si>
    <t>HTSPCCGXS-202506-0114</t>
  </si>
  <si>
    <t>YY000030001</t>
  </si>
  <si>
    <t>清溪2</t>
  </si>
  <si>
    <t>酉阳县清泉乡清溪村3、6、7、8、9组</t>
  </si>
  <si>
    <t>2026年12月定植</t>
  </si>
  <si>
    <t>HTSPCCGXS-202508-0067</t>
  </si>
  <si>
    <t>YY00004</t>
  </si>
  <si>
    <t>响水</t>
  </si>
  <si>
    <t>YY0000400</t>
  </si>
  <si>
    <t>YY000040000</t>
  </si>
  <si>
    <t>响水1</t>
  </si>
  <si>
    <t>酉阳县清泉乡响水村1、2、3、4组</t>
  </si>
  <si>
    <t>HTSPCCGXS-202508-0068</t>
  </si>
  <si>
    <t>YY000040001</t>
  </si>
  <si>
    <t>响水2</t>
  </si>
  <si>
    <t>酉阳县清泉乡响水村</t>
  </si>
  <si>
    <t>2025年新签高接换种、11月新种</t>
  </si>
  <si>
    <t>HTSPCCGXS-202507-0061</t>
  </si>
  <si>
    <t>YY000040002</t>
  </si>
  <si>
    <t>响水3</t>
  </si>
  <si>
    <t>HTSPCCGXS-202508-0040</t>
  </si>
  <si>
    <t>YY000040003</t>
  </si>
  <si>
    <t>响水4</t>
  </si>
  <si>
    <t>HTSPCCGXS-202508-0036</t>
  </si>
  <si>
    <t>两罾乡</t>
  </si>
  <si>
    <t>YY00005</t>
  </si>
  <si>
    <t>小河</t>
  </si>
  <si>
    <t>YY0000500</t>
  </si>
  <si>
    <t>红阳</t>
  </si>
  <si>
    <t>YY000050000</t>
  </si>
  <si>
    <t>两罾乡红阳村四组</t>
  </si>
  <si>
    <t>HTSPCCGXS-202508-0057</t>
  </si>
  <si>
    <t>小河镇</t>
  </si>
  <si>
    <t>崔本浩</t>
  </si>
  <si>
    <t>YY0000501</t>
  </si>
  <si>
    <t>YY000050100</t>
  </si>
  <si>
    <t>酉阳县小河镇小河村</t>
  </si>
  <si>
    <t>2025年3月高接换种、12月新种</t>
  </si>
  <si>
    <t>HTSPCCGXS-202506-0113</t>
  </si>
  <si>
    <t>铜鼓乡</t>
  </si>
  <si>
    <t>YY00006</t>
  </si>
  <si>
    <t>车坝</t>
  </si>
  <si>
    <t>YY0000600</t>
  </si>
  <si>
    <t>YY000060000</t>
  </si>
  <si>
    <t>酉阳县铜鼓镇车坝村</t>
  </si>
  <si>
    <t>HTSPCCGXS-202507-0112</t>
  </si>
  <si>
    <t>五福乡</t>
  </si>
  <si>
    <t>李诗来</t>
  </si>
  <si>
    <t>YY00007</t>
  </si>
  <si>
    <t>龙沙</t>
  </si>
  <si>
    <t>YY0000700</t>
  </si>
  <si>
    <t>YY000070000</t>
  </si>
  <si>
    <t>龙沙1</t>
  </si>
  <si>
    <t>酉阳县五福镇龙沙村</t>
  </si>
  <si>
    <t>2025年3月定植，4月、12月新种</t>
  </si>
  <si>
    <t>HTSPCCGXS-202506-0112</t>
  </si>
  <si>
    <t>YY000070001</t>
  </si>
  <si>
    <t>龙沙2</t>
  </si>
  <si>
    <t>HTSPCCGXS-202509-0090</t>
  </si>
  <si>
    <t>大溪镇</t>
  </si>
  <si>
    <t>YY005</t>
  </si>
  <si>
    <t>屠正波合作区</t>
  </si>
  <si>
    <t>YY00500</t>
  </si>
  <si>
    <t>杉岭</t>
  </si>
  <si>
    <t>YY0050000</t>
  </si>
  <si>
    <t>YY005000000</t>
  </si>
  <si>
    <t>酉阳县大溪镇衫岭村</t>
  </si>
  <si>
    <t>2025年3月嫁接、4月月、11月新种</t>
  </si>
  <si>
    <t>HTSPCCGXS-202508-0035</t>
  </si>
  <si>
    <t>YY00008</t>
  </si>
  <si>
    <t>石堤</t>
  </si>
  <si>
    <t>李书学</t>
  </si>
  <si>
    <t>YY0000800</t>
  </si>
  <si>
    <t>YY000080000</t>
  </si>
  <si>
    <t>酉阳县大溪镇石堤村</t>
  </si>
  <si>
    <t>YY00009</t>
  </si>
  <si>
    <t>茶店</t>
  </si>
  <si>
    <t>YY0000900</t>
  </si>
  <si>
    <t>YY000090000</t>
  </si>
  <si>
    <t>酉阳县大溪镇茶店村</t>
  </si>
  <si>
    <t>2025年3月高接换种、11月新种</t>
  </si>
  <si>
    <t>OA单号</t>
  </si>
  <si>
    <t>酉东</t>
  </si>
  <si>
    <t>061-后溪村</t>
  </si>
  <si>
    <t>005-大地村1</t>
  </si>
  <si>
    <t>019-大地村2</t>
  </si>
  <si>
    <t>021-大地村3</t>
  </si>
  <si>
    <t>018-大地村4</t>
  </si>
  <si>
    <t>002-江西湾</t>
  </si>
  <si>
    <t>003-古田村</t>
  </si>
  <si>
    <t>036-溪口村</t>
  </si>
  <si>
    <t>005-水田村</t>
  </si>
  <si>
    <t>007-鱼水村1</t>
  </si>
  <si>
    <t>008-鱼水村2</t>
  </si>
  <si>
    <t>006-鱼水村3</t>
  </si>
  <si>
    <t>酉中</t>
  </si>
  <si>
    <t>115-下腴</t>
  </si>
  <si>
    <t>031-平桥</t>
  </si>
  <si>
    <t>004-桂香</t>
  </si>
  <si>
    <t>酉西</t>
  </si>
  <si>
    <t>114-清溪1</t>
  </si>
  <si>
    <t>950.8</t>
  </si>
  <si>
    <t>921</t>
  </si>
  <si>
    <t>067-清溪2</t>
  </si>
  <si>
    <t>1322.11</t>
  </si>
  <si>
    <t>1306.23</t>
  </si>
  <si>
    <t>068-响水1</t>
  </si>
  <si>
    <t>1012.51</t>
  </si>
  <si>
    <t>061-响水2</t>
  </si>
  <si>
    <t>320.08</t>
  </si>
  <si>
    <t>305.21</t>
  </si>
  <si>
    <t>040-响水3</t>
  </si>
  <si>
    <t>123.22</t>
  </si>
  <si>
    <t>117.92</t>
  </si>
  <si>
    <t>036-响水4</t>
  </si>
  <si>
    <t>203.78</t>
  </si>
  <si>
    <t>196.3</t>
  </si>
  <si>
    <t>057-红阳</t>
  </si>
  <si>
    <t>534.66</t>
  </si>
  <si>
    <t>524.17</t>
  </si>
  <si>
    <t>老龙</t>
  </si>
  <si>
    <t>501.23</t>
  </si>
  <si>
    <t>500.80</t>
  </si>
  <si>
    <t>113-小河</t>
  </si>
  <si>
    <t>1127.28</t>
  </si>
  <si>
    <t>1125.97</t>
  </si>
  <si>
    <t>112-车坝</t>
  </si>
  <si>
    <t>112-龙沙1</t>
  </si>
  <si>
    <t>090-龙沙2</t>
  </si>
  <si>
    <t>035-杉岭</t>
  </si>
  <si>
    <t>035-石堤</t>
  </si>
  <si>
    <t>035-茶店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</si>
</sst>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  <numFmt numFmtId="178" formatCode="0.00_);[Red]\(0.00\)"/>
    <numFmt numFmtId="179" formatCode="yyyy&quot;年&quot;m&quot;月&quot;;@"/>
  </numFmts>
  <fonts count="35">
    <font>
      <sz val="10"/>
      <color theme="1"/>
      <name val="等线"/>
      <charset val="134"/>
      <scheme val="minor"/>
    </font>
    <font>
      <sz val="10"/>
      <name val="汉仪中黑"/>
      <charset val="134"/>
    </font>
    <font>
      <sz val="10"/>
      <name val="Microsoft YaHei"/>
      <charset val="134"/>
    </font>
    <font>
      <sz val="9"/>
      <name val="Microsoft YaHei"/>
      <charset val="134"/>
    </font>
    <font>
      <sz val="10"/>
      <name val="宋体"/>
      <charset val="134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DE3C36"/>
      <name val="Microsoft YaHei"/>
      <charset val="134"/>
    </font>
    <font>
      <sz val="11"/>
      <name val="Microsoft YaHei"/>
      <charset val="134"/>
    </font>
    <font>
      <sz val="10"/>
      <color rgb="FFFFFFFF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/>
      <bottom style="thin">
        <color rgb="FFD8D8D8"/>
      </bottom>
      <diagonal/>
    </border>
    <border>
      <left style="thin">
        <color rgb="FFD8D8D8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13" applyNumberFormat="0" applyAlignment="0" applyProtection="0">
      <alignment vertical="center"/>
    </xf>
    <xf numFmtId="0" fontId="24" fillId="15" borderId="14" applyNumberFormat="0" applyAlignment="0" applyProtection="0">
      <alignment vertical="center"/>
    </xf>
    <xf numFmtId="0" fontId="25" fillId="15" borderId="13" applyNumberFormat="0" applyAlignment="0" applyProtection="0">
      <alignment vertical="center"/>
    </xf>
    <xf numFmtId="0" fontId="26" fillId="16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132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2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2" fillId="0" borderId="1" xfId="0" applyFont="1" applyFill="1" applyBorder="1" applyAlignment="1"/>
    <xf numFmtId="0" fontId="2" fillId="0" borderId="0" xfId="0" applyFont="1">
      <alignment vertical="center"/>
    </xf>
    <xf numFmtId="49" fontId="2" fillId="0" borderId="2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3" fillId="0" borderId="0" xfId="0" applyNumberFormat="1" applyFont="1" applyFill="1">
      <alignment vertical="center"/>
    </xf>
    <xf numFmtId="49" fontId="2" fillId="0" borderId="3" xfId="0" applyNumberFormat="1" applyFont="1" applyFill="1" applyBorder="1">
      <alignment vertical="center"/>
    </xf>
    <xf numFmtId="49" fontId="2" fillId="0" borderId="1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>
      <alignment vertical="center"/>
    </xf>
    <xf numFmtId="0" fontId="2" fillId="2" borderId="0" xfId="0" applyFont="1" applyFill="1">
      <alignment vertical="center"/>
    </xf>
    <xf numFmtId="49" fontId="2" fillId="2" borderId="2" xfId="0" applyNumberFormat="1" applyFont="1" applyFill="1" applyBorder="1" applyAlignment="1">
      <alignment horizontal="right" vertical="center"/>
    </xf>
    <xf numFmtId="49" fontId="2" fillId="2" borderId="0" xfId="0" applyNumberFormat="1" applyFont="1" applyFill="1" applyAlignment="1">
      <alignment horizontal="right" vertical="center"/>
    </xf>
    <xf numFmtId="49" fontId="3" fillId="2" borderId="0" xfId="0" applyNumberFormat="1" applyFont="1" applyFill="1">
      <alignment vertical="center"/>
    </xf>
    <xf numFmtId="49" fontId="2" fillId="2" borderId="3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0" xfId="0" applyNumberFormat="1" applyFont="1" applyFill="1">
      <alignment vertical="center"/>
    </xf>
    <xf numFmtId="0" fontId="4" fillId="2" borderId="1" xfId="0" applyFont="1" applyFill="1" applyBorder="1">
      <alignment vertical="center"/>
    </xf>
    <xf numFmtId="0" fontId="0" fillId="0" borderId="0" xfId="0" applyFont="1" applyFill="1">
      <alignment vertical="center"/>
    </xf>
    <xf numFmtId="0" fontId="5" fillId="0" borderId="4" xfId="0" applyFont="1" applyBorder="1">
      <alignment vertical="center"/>
    </xf>
    <xf numFmtId="0" fontId="0" fillId="0" borderId="4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6" borderId="1" xfId="0" applyFont="1" applyFill="1" applyBorder="1" applyAlignment="1">
      <alignment horizontal="left" vertical="center"/>
    </xf>
    <xf numFmtId="49" fontId="6" fillId="6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6" fontId="5" fillId="0" borderId="2" xfId="0" applyNumberFormat="1" applyFont="1" applyBorder="1">
      <alignment vertical="center"/>
    </xf>
    <xf numFmtId="0" fontId="7" fillId="0" borderId="0" xfId="0" applyFont="1" applyAlignment="1">
      <alignment horizontal="left" vertical="center"/>
    </xf>
    <xf numFmtId="0" fontId="5" fillId="8" borderId="3" xfId="0" applyFont="1" applyFill="1" applyBorder="1">
      <alignment vertical="center"/>
    </xf>
    <xf numFmtId="0" fontId="5" fillId="0" borderId="3" xfId="0" applyFont="1" applyBorder="1">
      <alignment vertical="center"/>
    </xf>
    <xf numFmtId="0" fontId="8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76" fontId="8" fillId="6" borderId="2" xfId="0" applyNumberFormat="1" applyFont="1" applyFill="1" applyBorder="1" applyAlignment="1"/>
    <xf numFmtId="0" fontId="9" fillId="6" borderId="0" xfId="0" applyFont="1" applyFill="1" applyAlignment="1">
      <alignment horizontal="left"/>
    </xf>
    <xf numFmtId="0" fontId="8" fillId="8" borderId="0" xfId="0" applyFont="1" applyFill="1" applyAlignment="1"/>
    <xf numFmtId="0" fontId="8" fillId="6" borderId="3" xfId="0" applyFont="1" applyFill="1" applyBorder="1" applyAlignment="1"/>
    <xf numFmtId="0" fontId="8" fillId="6" borderId="1" xfId="0" applyFont="1" applyFill="1" applyBorder="1" applyAlignment="1"/>
    <xf numFmtId="0" fontId="3" fillId="0" borderId="1" xfId="0" applyFont="1" applyFill="1" applyBorder="1" applyAlignment="1"/>
    <xf numFmtId="0" fontId="8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>
      <alignment vertical="center"/>
    </xf>
    <xf numFmtId="57" fontId="2" fillId="0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right" vertical="center"/>
    </xf>
    <xf numFmtId="0" fontId="10" fillId="0" borderId="0" xfId="0" applyFont="1" applyFill="1" applyAlignment="1">
      <alignment horizontal="right" vertical="center"/>
    </xf>
    <xf numFmtId="49" fontId="3" fillId="8" borderId="0" xfId="0" applyNumberFormat="1" applyFont="1" applyFill="1">
      <alignment vertical="center"/>
    </xf>
    <xf numFmtId="57" fontId="2" fillId="7" borderId="1" xfId="0" applyNumberFormat="1" applyFont="1" applyFill="1" applyBorder="1" applyAlignment="1">
      <alignment horizontal="left"/>
    </xf>
    <xf numFmtId="0" fontId="5" fillId="0" borderId="0" xfId="0" applyFont="1">
      <alignment vertical="center"/>
    </xf>
    <xf numFmtId="0" fontId="2" fillId="7" borderId="1" xfId="0" applyFont="1" applyFill="1" applyBorder="1" applyAlignment="1"/>
    <xf numFmtId="49" fontId="10" fillId="9" borderId="0" xfId="0" applyNumberFormat="1" applyFont="1" applyFill="1" applyAlignment="1">
      <alignment horizontal="right" vertical="center"/>
    </xf>
    <xf numFmtId="177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right" vertical="center"/>
    </xf>
    <xf numFmtId="57" fontId="2" fillId="10" borderId="1" xfId="0" applyNumberFormat="1" applyFont="1" applyFill="1" applyBorder="1" applyAlignment="1">
      <alignment horizontal="left"/>
    </xf>
    <xf numFmtId="49" fontId="3" fillId="9" borderId="1" xfId="0" applyNumberFormat="1" applyFont="1" applyFill="1" applyBorder="1">
      <alignment vertical="center"/>
    </xf>
    <xf numFmtId="57" fontId="11" fillId="7" borderId="1" xfId="0" applyNumberFormat="1" applyFont="1" applyFill="1" applyBorder="1" applyAlignment="1">
      <alignment horizontal="left" vertical="top" wrapText="1"/>
    </xf>
    <xf numFmtId="4" fontId="2" fillId="0" borderId="2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10" fillId="0" borderId="0" xfId="0" applyFont="1" applyFill="1">
      <alignment vertical="center"/>
    </xf>
    <xf numFmtId="57" fontId="11" fillId="7" borderId="1" xfId="0" applyNumberFormat="1" applyFont="1" applyFill="1" applyBorder="1" applyAlignment="1">
      <alignment horizontal="left" wrapText="1"/>
    </xf>
    <xf numFmtId="0" fontId="0" fillId="0" borderId="1" xfId="0" applyFont="1" applyBorder="1">
      <alignment vertical="center"/>
    </xf>
    <xf numFmtId="0" fontId="3" fillId="9" borderId="1" xfId="0" applyFont="1" applyFill="1" applyBorder="1" applyAlignment="1"/>
    <xf numFmtId="0" fontId="12" fillId="0" borderId="0" xfId="0" applyFont="1" applyFill="1" applyAlignment="1">
      <alignment horizontal="right" vertical="center"/>
    </xf>
    <xf numFmtId="57" fontId="11" fillId="7" borderId="1" xfId="0" applyNumberFormat="1" applyFont="1" applyFill="1" applyBorder="1" applyAlignment="1">
      <alignment horizontal="left" vertical="top"/>
    </xf>
    <xf numFmtId="176" fontId="2" fillId="0" borderId="2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wrapText="1"/>
    </xf>
    <xf numFmtId="0" fontId="10" fillId="0" borderId="1" xfId="0" applyFont="1" applyFill="1" applyBorder="1" applyAlignment="1"/>
    <xf numFmtId="0" fontId="11" fillId="0" borderId="1" xfId="0" applyFont="1" applyFill="1" applyBorder="1" applyAlignment="1"/>
    <xf numFmtId="0" fontId="2" fillId="7" borderId="5" xfId="0" applyFont="1" applyFill="1" applyBorder="1" applyAlignment="1"/>
    <xf numFmtId="0" fontId="2" fillId="0" borderId="6" xfId="0" applyFont="1" applyFill="1" applyBorder="1" applyAlignment="1">
      <alignment horizontal="right" vertical="center"/>
    </xf>
    <xf numFmtId="0" fontId="2" fillId="0" borderId="2" xfId="0" applyFont="1" applyFill="1" applyBorder="1" applyAlignment="1"/>
    <xf numFmtId="0" fontId="2" fillId="0" borderId="0" xfId="0" applyFont="1" applyFill="1" applyAlignment="1"/>
    <xf numFmtId="49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5" fillId="0" borderId="0" xfId="0" applyFont="1" applyFill="1">
      <alignment vertical="center"/>
    </xf>
    <xf numFmtId="0" fontId="2" fillId="0" borderId="7" xfId="0" applyFont="1" applyFill="1" applyBorder="1" applyAlignment="1"/>
    <xf numFmtId="49" fontId="2" fillId="0" borderId="8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/>
    <xf numFmtId="0" fontId="2" fillId="11" borderId="2" xfId="0" applyFont="1" applyFill="1" applyBorder="1" applyAlignment="1">
      <alignment horizontal="right" vertical="center"/>
    </xf>
    <xf numFmtId="178" fontId="12" fillId="0" borderId="0" xfId="0" applyNumberFormat="1" applyFont="1" applyAlignment="1">
      <alignment horizontal="right" vertical="center"/>
    </xf>
    <xf numFmtId="0" fontId="11" fillId="7" borderId="1" xfId="0" applyFont="1" applyFill="1" applyBorder="1" applyAlignment="1"/>
    <xf numFmtId="0" fontId="8" fillId="0" borderId="1" xfId="0" applyFont="1" applyBorder="1" applyAlignment="1"/>
    <xf numFmtId="178" fontId="2" fillId="0" borderId="2" xfId="0" applyNumberFormat="1" applyFont="1" applyBorder="1" applyAlignment="1">
      <alignment horizontal="right" vertical="center"/>
    </xf>
    <xf numFmtId="49" fontId="10" fillId="0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right" vertical="center"/>
    </xf>
    <xf numFmtId="179" fontId="2" fillId="7" borderId="1" xfId="0" applyNumberFormat="1" applyFont="1" applyFill="1" applyBorder="1" applyAlignment="1">
      <alignment horizontal="left"/>
    </xf>
    <xf numFmtId="179" fontId="2" fillId="0" borderId="1" xfId="0" applyNumberFormat="1" applyFont="1" applyBorder="1" applyAlignment="1">
      <alignment horizontal="left"/>
    </xf>
    <xf numFmtId="178" fontId="2" fillId="9" borderId="2" xfId="0" applyNumberFormat="1" applyFont="1" applyFill="1" applyBorder="1" applyAlignment="1">
      <alignment horizontal="right" vertical="center"/>
    </xf>
    <xf numFmtId="0" fontId="5" fillId="0" borderId="2" xfId="0" applyFont="1" applyBorder="1">
      <alignment vertical="center"/>
    </xf>
    <xf numFmtId="0" fontId="8" fillId="2" borderId="1" xfId="0" applyFont="1" applyFill="1" applyBorder="1" applyAlignment="1"/>
    <xf numFmtId="179" fontId="2" fillId="2" borderId="1" xfId="0" applyNumberFormat="1" applyFont="1" applyFill="1" applyBorder="1" applyAlignment="1">
      <alignment horizontal="left"/>
    </xf>
    <xf numFmtId="0" fontId="10" fillId="9" borderId="0" xfId="0" applyFont="1" applyFill="1" applyAlignment="1">
      <alignment horizontal="right" vertical="center"/>
    </xf>
    <xf numFmtId="0" fontId="5" fillId="2" borderId="1" xfId="0" applyFont="1" applyFill="1" applyBorder="1">
      <alignment vertical="center"/>
    </xf>
    <xf numFmtId="178" fontId="2" fillId="0" borderId="2" xfId="0" applyNumberFormat="1" applyFont="1" applyFill="1" applyBorder="1" applyAlignment="1">
      <alignment horizontal="right" vertical="center"/>
    </xf>
    <xf numFmtId="178" fontId="2" fillId="9" borderId="6" xfId="0" applyNumberFormat="1" applyFont="1" applyFill="1" applyBorder="1" applyAlignment="1">
      <alignment horizontal="right" vertical="center"/>
    </xf>
    <xf numFmtId="0" fontId="0" fillId="0" borderId="9" xfId="0" applyFont="1" applyBorder="1">
      <alignment vertical="center"/>
    </xf>
    <xf numFmtId="0" fontId="0" fillId="0" borderId="8" xfId="0" applyFont="1" applyBorder="1">
      <alignment vertical="center"/>
    </xf>
    <xf numFmtId="0" fontId="10" fillId="9" borderId="0" xfId="0" applyFont="1" applyFill="1">
      <alignment vertical="center"/>
    </xf>
    <xf numFmtId="0" fontId="2" fillId="9" borderId="1" xfId="0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4" fillId="0" borderId="1" xfId="0" applyFont="1" applyFill="1" applyBorder="1">
      <alignment vertical="center"/>
    </xf>
    <xf numFmtId="57" fontId="2" fillId="0" borderId="1" xfId="0" applyNumberFormat="1" applyFont="1" applyBorder="1" applyAlignment="1">
      <alignment horizontal="left"/>
    </xf>
    <xf numFmtId="0" fontId="2" fillId="0" borderId="1" xfId="0" applyFont="1" applyBorder="1">
      <alignment vertical="center"/>
    </xf>
    <xf numFmtId="0" fontId="2" fillId="7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49" fontId="2" fillId="0" borderId="6" xfId="0" applyNumberFormat="1" applyFont="1" applyFill="1" applyBorder="1" applyAlignment="1">
      <alignment horizontal="right" vertical="center"/>
    </xf>
    <xf numFmtId="49" fontId="2" fillId="8" borderId="0" xfId="0" applyNumberFormat="1" applyFont="1" applyFill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" fillId="6" borderId="0" xfId="0" applyFont="1" applyFill="1" applyAlignment="1"/>
    <xf numFmtId="0" fontId="2" fillId="0" borderId="0" xfId="0" applyFont="1" applyAlignment="1"/>
    <xf numFmtId="0" fontId="2" fillId="7" borderId="0" xfId="0" applyFont="1" applyFill="1" applyAlignment="1"/>
    <xf numFmtId="0" fontId="2" fillId="12" borderId="0" xfId="0" applyFont="1" applyFill="1" applyAlignment="1"/>
    <xf numFmtId="0" fontId="2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农业资产盘点明细">
    <tabColor rgb="FFDE3C36"/>
  </sheetPr>
  <dimension ref="A1:AM286"/>
  <sheetViews>
    <sheetView tabSelected="1" topLeftCell="K1" workbookViewId="0">
      <pane ySplit="1" topLeftCell="A197" activePane="bottomLeft" state="frozen"/>
      <selection/>
      <selection pane="bottomLeft" activeCell="Z98" sqref="Z98"/>
    </sheetView>
  </sheetViews>
  <sheetFormatPr defaultColWidth="14" defaultRowHeight="18" customHeight="1"/>
  <cols>
    <col min="1" max="1" width="13.7980769230769" style="14" customWidth="1"/>
    <col min="2" max="3" width="6.60576923076923" style="14" customWidth="1"/>
    <col min="4" max="4" width="8.40384615384615" style="14" customWidth="1"/>
    <col min="5" max="5" width="4.31730769230769" style="14" customWidth="1"/>
    <col min="6" max="6" width="24.5865384615385" style="14" customWidth="1"/>
    <col min="7" max="8" width="8.40384615384615" style="14" customWidth="1"/>
    <col min="9" max="9" width="13.7980769230769" style="14" customWidth="1"/>
    <col min="10" max="10" width="10.2019230769231" style="14" customWidth="1"/>
    <col min="11" max="11" width="12.8173076923077" style="14" customWidth="1"/>
    <col min="12" max="12" width="8.40384615384615" style="14" customWidth="1"/>
    <col min="13" max="13" width="18.1634615384615" style="14" customWidth="1"/>
    <col min="14" max="14" width="15.5961538461538" style="14" customWidth="1"/>
    <col min="15" max="15" width="13.7980769230769" style="14" customWidth="1"/>
    <col min="16" max="16" width="10.2019230769231" style="14" customWidth="1"/>
    <col min="17" max="17" width="16.3269230769231" style="14" customWidth="1"/>
    <col min="18" max="18" width="9.56730769230769" style="14" customWidth="1"/>
    <col min="19" max="19" width="12" style="14" customWidth="1"/>
    <col min="20" max="20" width="13.7980769230769" style="14" customWidth="1"/>
    <col min="21" max="21" width="10.2019230769231" style="14" customWidth="1"/>
    <col min="22" max="22" width="12.8173076923077" style="14" customWidth="1"/>
    <col min="23" max="23" width="11.6730769230769" style="14" customWidth="1"/>
    <col min="24" max="24" width="13.7980769230769" style="14" customWidth="1"/>
    <col min="25" max="25" width="13.7788461538462" style="14" customWidth="1"/>
    <col min="26" max="26" width="18.1730769230769" style="14" customWidth="1"/>
    <col min="27" max="27" width="13.0865384615385" style="14" customWidth="1"/>
    <col min="28" max="28" width="11.7307692307692" style="14" customWidth="1"/>
    <col min="29" max="29" width="14.2980769230769" style="14" customWidth="1"/>
    <col min="30" max="30" width="11.1923076923077" style="14" customWidth="1"/>
    <col min="31" max="31" width="23.6057692307692" style="14" customWidth="1"/>
    <col min="32" max="32" width="23.7115384615385" style="14" customWidth="1"/>
    <col min="33" max="36" width="11.1923076923077" style="14" customWidth="1"/>
    <col min="37" max="37" width="21.0384615384615" style="14" customWidth="1"/>
    <col min="38" max="38" width="21.3173076923077" style="14" customWidth="1"/>
    <col min="39" max="39" width="11.1923076923077" style="14" customWidth="1"/>
  </cols>
  <sheetData>
    <row r="1" customHeight="1" spans="1:3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2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124" t="s">
        <v>29</v>
      </c>
      <c r="AE1" s="125" t="s">
        <v>30</v>
      </c>
      <c r="AF1" s="126" t="s">
        <v>31</v>
      </c>
      <c r="AG1" s="126" t="s">
        <v>32</v>
      </c>
      <c r="AH1" s="126" t="s">
        <v>33</v>
      </c>
      <c r="AI1" s="126" t="s">
        <v>34</v>
      </c>
      <c r="AJ1" s="126" t="s">
        <v>35</v>
      </c>
      <c r="AK1" s="126" t="s">
        <v>36</v>
      </c>
      <c r="AL1" s="126" t="s">
        <v>37</v>
      </c>
      <c r="AM1" s="126" t="s">
        <v>38</v>
      </c>
    </row>
    <row r="2" customHeight="1" spans="1:39">
      <c r="A2" s="127" t="s">
        <v>39</v>
      </c>
      <c r="B2" s="127" t="s">
        <v>40</v>
      </c>
      <c r="C2" s="127" t="s">
        <v>41</v>
      </c>
      <c r="D2" s="127" t="s">
        <v>42</v>
      </c>
      <c r="E2" s="127"/>
      <c r="F2" s="127" t="s">
        <v>43</v>
      </c>
      <c r="G2" s="127" t="s">
        <v>44</v>
      </c>
      <c r="H2" s="127" t="s">
        <v>45</v>
      </c>
      <c r="I2" s="127">
        <v>7001221</v>
      </c>
      <c r="J2" s="127" t="s">
        <v>46</v>
      </c>
      <c r="K2" s="127">
        <v>13656706121</v>
      </c>
      <c r="L2" s="127" t="s">
        <v>47</v>
      </c>
      <c r="M2" s="127"/>
      <c r="N2" s="127" t="s">
        <v>48</v>
      </c>
      <c r="O2" s="127"/>
      <c r="P2" s="127" t="s">
        <v>49</v>
      </c>
      <c r="Q2" s="127">
        <v>18357088762</v>
      </c>
      <c r="R2" s="127" t="s">
        <v>50</v>
      </c>
      <c r="S2" s="127" t="s">
        <v>51</v>
      </c>
      <c r="T2" s="127"/>
      <c r="U2" s="127" t="s">
        <v>52</v>
      </c>
      <c r="V2" s="127">
        <v>15057078636</v>
      </c>
      <c r="W2" s="127" t="s">
        <v>53</v>
      </c>
      <c r="X2" s="127" t="s">
        <v>54</v>
      </c>
      <c r="Y2" s="127" t="s">
        <v>55</v>
      </c>
      <c r="Z2" s="127" t="s">
        <v>56</v>
      </c>
      <c r="AA2" s="128">
        <v>2627.5283</v>
      </c>
      <c r="AB2" s="128">
        <v>86.47</v>
      </c>
      <c r="AC2" s="128">
        <v>86.47</v>
      </c>
      <c r="AD2" s="128"/>
      <c r="AE2" s="127" t="s">
        <v>57</v>
      </c>
      <c r="AF2" s="128"/>
      <c r="AG2" s="128"/>
      <c r="AH2" s="128"/>
      <c r="AI2" s="128"/>
      <c r="AJ2" s="128"/>
      <c r="AK2" s="128"/>
      <c r="AL2" s="128"/>
      <c r="AM2" s="128"/>
    </row>
    <row r="3" customHeight="1" spans="1:39">
      <c r="A3" s="127" t="s">
        <v>39</v>
      </c>
      <c r="B3" s="127" t="s">
        <v>40</v>
      </c>
      <c r="C3" s="127" t="s">
        <v>41</v>
      </c>
      <c r="D3" s="127" t="s">
        <v>42</v>
      </c>
      <c r="E3" s="127"/>
      <c r="F3" s="127" t="s">
        <v>43</v>
      </c>
      <c r="G3" s="127" t="s">
        <v>44</v>
      </c>
      <c r="H3" s="127" t="s">
        <v>45</v>
      </c>
      <c r="I3" s="127">
        <v>7001221</v>
      </c>
      <c r="J3" s="127" t="s">
        <v>46</v>
      </c>
      <c r="K3" s="127">
        <v>13656706121</v>
      </c>
      <c r="L3" s="127" t="s">
        <v>47</v>
      </c>
      <c r="M3" s="127"/>
      <c r="N3" s="127" t="s">
        <v>48</v>
      </c>
      <c r="O3" s="127"/>
      <c r="P3" s="127" t="s">
        <v>49</v>
      </c>
      <c r="Q3" s="127">
        <v>18357088762</v>
      </c>
      <c r="R3" s="127" t="s">
        <v>50</v>
      </c>
      <c r="S3" s="127" t="s">
        <v>51</v>
      </c>
      <c r="T3" s="127"/>
      <c r="U3" s="127" t="s">
        <v>52</v>
      </c>
      <c r="V3" s="127">
        <v>15057078636</v>
      </c>
      <c r="W3" s="127" t="s">
        <v>58</v>
      </c>
      <c r="X3" s="127" t="s">
        <v>59</v>
      </c>
      <c r="Y3" s="127" t="s">
        <v>60</v>
      </c>
      <c r="Z3" s="127" t="s">
        <v>61</v>
      </c>
      <c r="AA3" s="128">
        <v>48.7</v>
      </c>
      <c r="AB3" s="128">
        <v>44.8</v>
      </c>
      <c r="AC3" s="128">
        <v>44.83</v>
      </c>
      <c r="AD3" s="128"/>
      <c r="AE3" s="127" t="s">
        <v>62</v>
      </c>
      <c r="AF3" s="128"/>
      <c r="AG3" s="128"/>
      <c r="AH3" s="128"/>
      <c r="AI3" s="128"/>
      <c r="AJ3" s="128"/>
      <c r="AK3" s="128"/>
      <c r="AL3" s="128"/>
      <c r="AM3" s="128"/>
    </row>
    <row r="4" customHeight="1" spans="1:39">
      <c r="A4" s="127" t="s">
        <v>39</v>
      </c>
      <c r="B4" s="127" t="s">
        <v>40</v>
      </c>
      <c r="C4" s="127" t="s">
        <v>41</v>
      </c>
      <c r="D4" s="127" t="s">
        <v>42</v>
      </c>
      <c r="E4" s="127"/>
      <c r="F4" s="127" t="s">
        <v>43</v>
      </c>
      <c r="G4" s="127" t="s">
        <v>44</v>
      </c>
      <c r="H4" s="127" t="s">
        <v>45</v>
      </c>
      <c r="I4" s="127">
        <v>7001221</v>
      </c>
      <c r="J4" s="127" t="s">
        <v>46</v>
      </c>
      <c r="K4" s="127">
        <v>13656706121</v>
      </c>
      <c r="L4" s="127" t="s">
        <v>47</v>
      </c>
      <c r="M4" s="127"/>
      <c r="N4" s="127" t="s">
        <v>48</v>
      </c>
      <c r="O4" s="127"/>
      <c r="P4" s="127" t="s">
        <v>49</v>
      </c>
      <c r="Q4" s="127">
        <v>18357088762</v>
      </c>
      <c r="R4" s="127" t="s">
        <v>50</v>
      </c>
      <c r="S4" s="127" t="s">
        <v>51</v>
      </c>
      <c r="T4" s="127"/>
      <c r="U4" s="127" t="s">
        <v>52</v>
      </c>
      <c r="V4" s="127">
        <v>15057078636</v>
      </c>
      <c r="W4" s="127" t="s">
        <v>63</v>
      </c>
      <c r="X4" s="127" t="s">
        <v>64</v>
      </c>
      <c r="Y4" s="127" t="s">
        <v>65</v>
      </c>
      <c r="Z4" s="127" t="s">
        <v>66</v>
      </c>
      <c r="AA4" s="128">
        <v>266</v>
      </c>
      <c r="AB4" s="128">
        <v>140.82</v>
      </c>
      <c r="AC4" s="128">
        <v>140.8</v>
      </c>
      <c r="AD4" s="128"/>
      <c r="AE4" s="127" t="s">
        <v>67</v>
      </c>
      <c r="AF4" s="128"/>
      <c r="AG4" s="128"/>
      <c r="AH4" s="128"/>
      <c r="AI4" s="128"/>
      <c r="AJ4" s="128"/>
      <c r="AK4" s="128"/>
      <c r="AL4" s="128"/>
      <c r="AM4" s="128"/>
    </row>
    <row r="5" customHeight="1" spans="1:39">
      <c r="A5" s="127" t="s">
        <v>39</v>
      </c>
      <c r="B5" s="127" t="s">
        <v>40</v>
      </c>
      <c r="C5" s="127" t="s">
        <v>41</v>
      </c>
      <c r="D5" s="127" t="s">
        <v>42</v>
      </c>
      <c r="E5" s="127"/>
      <c r="F5" s="127" t="s">
        <v>43</v>
      </c>
      <c r="G5" s="127" t="s">
        <v>44</v>
      </c>
      <c r="H5" s="127" t="s">
        <v>45</v>
      </c>
      <c r="I5" s="127">
        <v>7001221</v>
      </c>
      <c r="J5" s="127" t="s">
        <v>46</v>
      </c>
      <c r="K5" s="127">
        <v>13656706121</v>
      </c>
      <c r="L5" s="127" t="s">
        <v>47</v>
      </c>
      <c r="M5" s="127"/>
      <c r="N5" s="127" t="s">
        <v>48</v>
      </c>
      <c r="O5" s="127"/>
      <c r="P5" s="127" t="s">
        <v>49</v>
      </c>
      <c r="Q5" s="127">
        <v>18357088762</v>
      </c>
      <c r="R5" s="127" t="s">
        <v>50</v>
      </c>
      <c r="S5" s="127" t="s">
        <v>51</v>
      </c>
      <c r="T5" s="127"/>
      <c r="U5" s="127" t="s">
        <v>52</v>
      </c>
      <c r="V5" s="127">
        <v>15057078636</v>
      </c>
      <c r="W5" s="127" t="s">
        <v>68</v>
      </c>
      <c r="X5" s="127" t="s">
        <v>69</v>
      </c>
      <c r="Y5" s="127" t="s">
        <v>70</v>
      </c>
      <c r="Z5" s="127" t="s">
        <v>71</v>
      </c>
      <c r="AA5" s="128">
        <v>266</v>
      </c>
      <c r="AB5" s="128">
        <v>135.29</v>
      </c>
      <c r="AC5" s="128">
        <v>135.25</v>
      </c>
      <c r="AD5" s="128"/>
      <c r="AE5" s="127" t="s">
        <v>67</v>
      </c>
      <c r="AF5" s="128"/>
      <c r="AG5" s="128"/>
      <c r="AH5" s="128"/>
      <c r="AI5" s="128"/>
      <c r="AJ5" s="128"/>
      <c r="AK5" s="128"/>
      <c r="AL5" s="128"/>
      <c r="AM5" s="128"/>
    </row>
    <row r="6" customHeight="1" spans="1:39">
      <c r="A6" s="127" t="s">
        <v>39</v>
      </c>
      <c r="B6" s="127" t="s">
        <v>40</v>
      </c>
      <c r="C6" s="127" t="s">
        <v>41</v>
      </c>
      <c r="D6" s="127" t="s">
        <v>42</v>
      </c>
      <c r="E6" s="127"/>
      <c r="F6" s="127" t="s">
        <v>43</v>
      </c>
      <c r="G6" s="127" t="s">
        <v>44</v>
      </c>
      <c r="H6" s="127" t="s">
        <v>45</v>
      </c>
      <c r="I6" s="127">
        <v>7001221</v>
      </c>
      <c r="J6" s="127" t="s">
        <v>46</v>
      </c>
      <c r="K6" s="127">
        <v>13656706121</v>
      </c>
      <c r="L6" s="127" t="s">
        <v>47</v>
      </c>
      <c r="M6" s="127"/>
      <c r="N6" s="127" t="s">
        <v>48</v>
      </c>
      <c r="O6" s="127"/>
      <c r="P6" s="127" t="s">
        <v>49</v>
      </c>
      <c r="Q6" s="127">
        <v>18357088762</v>
      </c>
      <c r="R6" s="127" t="s">
        <v>72</v>
      </c>
      <c r="S6" s="127" t="s">
        <v>73</v>
      </c>
      <c r="T6" s="127"/>
      <c r="U6" s="127" t="s">
        <v>74</v>
      </c>
      <c r="V6" s="127">
        <v>15857026038</v>
      </c>
      <c r="W6" s="127" t="s">
        <v>75</v>
      </c>
      <c r="X6" s="127" t="s">
        <v>76</v>
      </c>
      <c r="Y6" s="127" t="s">
        <v>77</v>
      </c>
      <c r="Z6" s="127" t="s">
        <v>78</v>
      </c>
      <c r="AA6" s="128">
        <v>2627.5283</v>
      </c>
      <c r="AB6" s="128">
        <v>52.33</v>
      </c>
      <c r="AC6" s="128">
        <v>52.29</v>
      </c>
      <c r="AD6" s="128"/>
      <c r="AE6" s="127" t="s">
        <v>57</v>
      </c>
      <c r="AF6" s="128"/>
      <c r="AG6" s="128"/>
      <c r="AH6" s="128"/>
      <c r="AI6" s="128"/>
      <c r="AJ6" s="128"/>
      <c r="AK6" s="128"/>
      <c r="AL6" s="128"/>
      <c r="AM6" s="128"/>
    </row>
    <row r="7" customHeight="1" spans="1:39">
      <c r="A7" s="127" t="s">
        <v>39</v>
      </c>
      <c r="B7" s="127" t="s">
        <v>40</v>
      </c>
      <c r="C7" s="127" t="s">
        <v>41</v>
      </c>
      <c r="D7" s="127" t="s">
        <v>42</v>
      </c>
      <c r="E7" s="127"/>
      <c r="F7" s="127" t="s">
        <v>43</v>
      </c>
      <c r="G7" s="127" t="s">
        <v>44</v>
      </c>
      <c r="H7" s="127" t="s">
        <v>45</v>
      </c>
      <c r="I7" s="127">
        <v>7001221</v>
      </c>
      <c r="J7" s="127" t="s">
        <v>46</v>
      </c>
      <c r="K7" s="127">
        <v>13656706121</v>
      </c>
      <c r="L7" s="127" t="s">
        <v>47</v>
      </c>
      <c r="M7" s="127"/>
      <c r="N7" s="127" t="s">
        <v>48</v>
      </c>
      <c r="O7" s="127"/>
      <c r="P7" s="127" t="s">
        <v>49</v>
      </c>
      <c r="Q7" s="127">
        <v>18357088762</v>
      </c>
      <c r="R7" s="127" t="s">
        <v>72</v>
      </c>
      <c r="S7" s="127" t="s">
        <v>73</v>
      </c>
      <c r="T7" s="127"/>
      <c r="U7" s="127" t="s">
        <v>74</v>
      </c>
      <c r="V7" s="127">
        <v>15857026038</v>
      </c>
      <c r="W7" s="127" t="s">
        <v>79</v>
      </c>
      <c r="X7" s="127" t="s">
        <v>80</v>
      </c>
      <c r="Y7" s="127" t="s">
        <v>81</v>
      </c>
      <c r="Z7" s="127" t="s">
        <v>82</v>
      </c>
      <c r="AA7" s="128">
        <v>2627.5283</v>
      </c>
      <c r="AB7" s="128">
        <v>91.61</v>
      </c>
      <c r="AC7" s="128">
        <v>91.6</v>
      </c>
      <c r="AD7" s="128"/>
      <c r="AE7" s="127" t="s">
        <v>57</v>
      </c>
      <c r="AF7" s="128"/>
      <c r="AG7" s="128"/>
      <c r="AH7" s="128"/>
      <c r="AI7" s="128"/>
      <c r="AJ7" s="128"/>
      <c r="AK7" s="128"/>
      <c r="AL7" s="128"/>
      <c r="AM7" s="128"/>
    </row>
    <row r="8" customHeight="1" spans="1:39">
      <c r="A8" s="127" t="s">
        <v>39</v>
      </c>
      <c r="B8" s="127" t="s">
        <v>40</v>
      </c>
      <c r="C8" s="127" t="s">
        <v>41</v>
      </c>
      <c r="D8" s="127" t="s">
        <v>42</v>
      </c>
      <c r="E8" s="127"/>
      <c r="F8" s="127" t="s">
        <v>43</v>
      </c>
      <c r="G8" s="127" t="s">
        <v>44</v>
      </c>
      <c r="H8" s="127" t="s">
        <v>45</v>
      </c>
      <c r="I8" s="127">
        <v>7001221</v>
      </c>
      <c r="J8" s="127" t="s">
        <v>46</v>
      </c>
      <c r="K8" s="127">
        <v>13656706121</v>
      </c>
      <c r="L8" s="127" t="s">
        <v>47</v>
      </c>
      <c r="M8" s="127"/>
      <c r="N8" s="127" t="s">
        <v>48</v>
      </c>
      <c r="O8" s="127"/>
      <c r="P8" s="127" t="s">
        <v>49</v>
      </c>
      <c r="Q8" s="127">
        <v>18357088762</v>
      </c>
      <c r="R8" s="127" t="s">
        <v>72</v>
      </c>
      <c r="S8" s="127" t="s">
        <v>73</v>
      </c>
      <c r="T8" s="127"/>
      <c r="U8" s="127" t="s">
        <v>74</v>
      </c>
      <c r="V8" s="127">
        <v>15857026038</v>
      </c>
      <c r="W8" s="127" t="s">
        <v>83</v>
      </c>
      <c r="X8" s="127" t="s">
        <v>84</v>
      </c>
      <c r="Y8" s="127" t="s">
        <v>85</v>
      </c>
      <c r="Z8" s="127" t="s">
        <v>86</v>
      </c>
      <c r="AA8" s="128">
        <v>2627.5283</v>
      </c>
      <c r="AB8" s="128">
        <v>140.29</v>
      </c>
      <c r="AC8" s="128">
        <v>140.29</v>
      </c>
      <c r="AD8" s="128"/>
      <c r="AE8" s="127" t="s">
        <v>57</v>
      </c>
      <c r="AF8" s="128"/>
      <c r="AG8" s="128"/>
      <c r="AH8" s="128"/>
      <c r="AI8" s="128"/>
      <c r="AJ8" s="128"/>
      <c r="AK8" s="128"/>
      <c r="AL8" s="128"/>
      <c r="AM8" s="128"/>
    </row>
    <row r="9" customHeight="1" spans="1:39">
      <c r="A9" s="127" t="s">
        <v>39</v>
      </c>
      <c r="B9" s="127" t="s">
        <v>40</v>
      </c>
      <c r="C9" s="127" t="s">
        <v>41</v>
      </c>
      <c r="D9" s="127" t="s">
        <v>42</v>
      </c>
      <c r="E9" s="127"/>
      <c r="F9" s="127" t="s">
        <v>43</v>
      </c>
      <c r="G9" s="127" t="s">
        <v>44</v>
      </c>
      <c r="H9" s="127" t="s">
        <v>45</v>
      </c>
      <c r="I9" s="127">
        <v>7001221</v>
      </c>
      <c r="J9" s="127" t="s">
        <v>46</v>
      </c>
      <c r="K9" s="127">
        <v>13656706121</v>
      </c>
      <c r="L9" s="127" t="s">
        <v>47</v>
      </c>
      <c r="M9" s="127"/>
      <c r="N9" s="127" t="s">
        <v>48</v>
      </c>
      <c r="O9" s="127"/>
      <c r="P9" s="127" t="s">
        <v>49</v>
      </c>
      <c r="Q9" s="127">
        <v>18357088762</v>
      </c>
      <c r="R9" s="127" t="s">
        <v>72</v>
      </c>
      <c r="S9" s="127" t="s">
        <v>73</v>
      </c>
      <c r="T9" s="127"/>
      <c r="U9" s="127" t="s">
        <v>74</v>
      </c>
      <c r="V9" s="127">
        <v>15857026038</v>
      </c>
      <c r="W9" s="127" t="s">
        <v>87</v>
      </c>
      <c r="X9" s="127" t="s">
        <v>88</v>
      </c>
      <c r="Y9" s="127" t="s">
        <v>89</v>
      </c>
      <c r="Z9" s="127" t="s">
        <v>90</v>
      </c>
      <c r="AA9" s="128">
        <v>2627.5283</v>
      </c>
      <c r="AB9" s="128">
        <v>68.46</v>
      </c>
      <c r="AC9" s="128">
        <v>68.43</v>
      </c>
      <c r="AD9" s="128"/>
      <c r="AE9" s="127" t="s">
        <v>57</v>
      </c>
      <c r="AF9" s="128"/>
      <c r="AG9" s="128"/>
      <c r="AH9" s="128"/>
      <c r="AI9" s="128"/>
      <c r="AJ9" s="128"/>
      <c r="AK9" s="128"/>
      <c r="AL9" s="128"/>
      <c r="AM9" s="128"/>
    </row>
    <row r="10" customHeight="1" spans="1:39">
      <c r="A10" s="127" t="s">
        <v>39</v>
      </c>
      <c r="B10" s="127" t="s">
        <v>40</v>
      </c>
      <c r="C10" s="127" t="s">
        <v>41</v>
      </c>
      <c r="D10" s="127" t="s">
        <v>42</v>
      </c>
      <c r="E10" s="127"/>
      <c r="F10" s="127" t="s">
        <v>43</v>
      </c>
      <c r="G10" s="127" t="s">
        <v>44</v>
      </c>
      <c r="H10" s="127" t="s">
        <v>45</v>
      </c>
      <c r="I10" s="127">
        <v>7001221</v>
      </c>
      <c r="J10" s="127" t="s">
        <v>46</v>
      </c>
      <c r="K10" s="127">
        <v>13656706121</v>
      </c>
      <c r="L10" s="127" t="s">
        <v>47</v>
      </c>
      <c r="M10" s="127"/>
      <c r="N10" s="127" t="s">
        <v>48</v>
      </c>
      <c r="O10" s="127"/>
      <c r="P10" s="127" t="s">
        <v>49</v>
      </c>
      <c r="Q10" s="127">
        <v>18357088762</v>
      </c>
      <c r="R10" s="127" t="s">
        <v>72</v>
      </c>
      <c r="S10" s="127" t="s">
        <v>73</v>
      </c>
      <c r="T10" s="127"/>
      <c r="U10" s="127" t="s">
        <v>74</v>
      </c>
      <c r="V10" s="127">
        <v>15857026038</v>
      </c>
      <c r="W10" s="127" t="s">
        <v>91</v>
      </c>
      <c r="X10" s="127" t="s">
        <v>92</v>
      </c>
      <c r="Y10" s="127" t="s">
        <v>93</v>
      </c>
      <c r="Z10" s="127" t="s">
        <v>94</v>
      </c>
      <c r="AA10" s="128">
        <v>2627.5283</v>
      </c>
      <c r="AB10" s="128">
        <v>27.27</v>
      </c>
      <c r="AC10" s="128">
        <v>27.29</v>
      </c>
      <c r="AD10" s="128"/>
      <c r="AE10" s="127" t="s">
        <v>57</v>
      </c>
      <c r="AF10" s="128"/>
      <c r="AG10" s="128"/>
      <c r="AH10" s="128"/>
      <c r="AI10" s="128"/>
      <c r="AJ10" s="128"/>
      <c r="AK10" s="128"/>
      <c r="AL10" s="128"/>
      <c r="AM10" s="128"/>
    </row>
    <row r="11" customHeight="1" spans="1:39">
      <c r="A11" s="127" t="s">
        <v>39</v>
      </c>
      <c r="B11" s="127" t="s">
        <v>40</v>
      </c>
      <c r="C11" s="127" t="s">
        <v>41</v>
      </c>
      <c r="D11" s="127" t="s">
        <v>42</v>
      </c>
      <c r="E11" s="127"/>
      <c r="F11" s="127" t="s">
        <v>43</v>
      </c>
      <c r="G11" s="127" t="s">
        <v>44</v>
      </c>
      <c r="H11" s="127" t="s">
        <v>45</v>
      </c>
      <c r="I11" s="127">
        <v>7001221</v>
      </c>
      <c r="J11" s="127" t="s">
        <v>46</v>
      </c>
      <c r="K11" s="127">
        <v>13656706121</v>
      </c>
      <c r="L11" s="127" t="s">
        <v>47</v>
      </c>
      <c r="M11" s="127"/>
      <c r="N11" s="127" t="s">
        <v>48</v>
      </c>
      <c r="O11" s="127"/>
      <c r="P11" s="127" t="s">
        <v>49</v>
      </c>
      <c r="Q11" s="127">
        <v>18357088762</v>
      </c>
      <c r="R11" s="127" t="s">
        <v>95</v>
      </c>
      <c r="S11" s="127" t="s">
        <v>96</v>
      </c>
      <c r="T11" s="127"/>
      <c r="U11" s="127" t="s">
        <v>97</v>
      </c>
      <c r="V11" s="127">
        <v>13373984718</v>
      </c>
      <c r="W11" s="127" t="s">
        <v>98</v>
      </c>
      <c r="X11" s="127" t="s">
        <v>99</v>
      </c>
      <c r="Y11" s="127" t="s">
        <v>100</v>
      </c>
      <c r="Z11" s="127" t="s">
        <v>101</v>
      </c>
      <c r="AA11" s="128">
        <v>2627.5283</v>
      </c>
      <c r="AB11" s="128">
        <v>32.25</v>
      </c>
      <c r="AC11" s="128">
        <v>32.23</v>
      </c>
      <c r="AD11" s="128"/>
      <c r="AE11" s="127" t="s">
        <v>57</v>
      </c>
      <c r="AF11" s="128"/>
      <c r="AG11" s="128"/>
      <c r="AH11" s="128"/>
      <c r="AI11" s="128"/>
      <c r="AJ11" s="128"/>
      <c r="AK11" s="128"/>
      <c r="AL11" s="128"/>
      <c r="AM11" s="128"/>
    </row>
    <row r="12" customHeight="1" spans="1:39">
      <c r="A12" s="127" t="s">
        <v>39</v>
      </c>
      <c r="B12" s="127" t="s">
        <v>40</v>
      </c>
      <c r="C12" s="127" t="s">
        <v>41</v>
      </c>
      <c r="D12" s="127" t="s">
        <v>42</v>
      </c>
      <c r="E12" s="127"/>
      <c r="F12" s="127" t="s">
        <v>43</v>
      </c>
      <c r="G12" s="127" t="s">
        <v>44</v>
      </c>
      <c r="H12" s="127" t="s">
        <v>45</v>
      </c>
      <c r="I12" s="127">
        <v>7001221</v>
      </c>
      <c r="J12" s="127" t="s">
        <v>46</v>
      </c>
      <c r="K12" s="127">
        <v>13656706121</v>
      </c>
      <c r="L12" s="127" t="s">
        <v>47</v>
      </c>
      <c r="M12" s="127"/>
      <c r="N12" s="127" t="s">
        <v>48</v>
      </c>
      <c r="O12" s="127"/>
      <c r="P12" s="127" t="s">
        <v>49</v>
      </c>
      <c r="Q12" s="127">
        <v>18357088762</v>
      </c>
      <c r="R12" s="127" t="s">
        <v>95</v>
      </c>
      <c r="S12" s="127" t="s">
        <v>96</v>
      </c>
      <c r="T12" s="127"/>
      <c r="U12" s="127" t="s">
        <v>97</v>
      </c>
      <c r="V12" s="127">
        <v>13373984718</v>
      </c>
      <c r="W12" s="127" t="s">
        <v>102</v>
      </c>
      <c r="X12" s="127" t="s">
        <v>103</v>
      </c>
      <c r="Y12" s="127" t="s">
        <v>104</v>
      </c>
      <c r="Z12" s="127" t="s">
        <v>105</v>
      </c>
      <c r="AA12" s="128">
        <v>2627.5283</v>
      </c>
      <c r="AB12" s="128">
        <v>164.1</v>
      </c>
      <c r="AC12" s="128">
        <v>164.07</v>
      </c>
      <c r="AD12" s="128"/>
      <c r="AE12" s="127" t="s">
        <v>57</v>
      </c>
      <c r="AF12" s="128"/>
      <c r="AG12" s="128"/>
      <c r="AH12" s="128"/>
      <c r="AI12" s="128"/>
      <c r="AJ12" s="128"/>
      <c r="AK12" s="128"/>
      <c r="AL12" s="128"/>
      <c r="AM12" s="128"/>
    </row>
    <row r="13" customHeight="1" spans="1:39">
      <c r="A13" s="127" t="s">
        <v>39</v>
      </c>
      <c r="B13" s="127" t="s">
        <v>40</v>
      </c>
      <c r="C13" s="127" t="s">
        <v>41</v>
      </c>
      <c r="D13" s="127" t="s">
        <v>42</v>
      </c>
      <c r="E13" s="127"/>
      <c r="F13" s="127" t="s">
        <v>43</v>
      </c>
      <c r="G13" s="127" t="s">
        <v>44</v>
      </c>
      <c r="H13" s="127" t="s">
        <v>45</v>
      </c>
      <c r="I13" s="127">
        <v>7001221</v>
      </c>
      <c r="J13" s="127" t="s">
        <v>46</v>
      </c>
      <c r="K13" s="127">
        <v>13656706121</v>
      </c>
      <c r="L13" s="127" t="s">
        <v>47</v>
      </c>
      <c r="M13" s="127"/>
      <c r="N13" s="127" t="s">
        <v>48</v>
      </c>
      <c r="O13" s="127"/>
      <c r="P13" s="127" t="s">
        <v>49</v>
      </c>
      <c r="Q13" s="127">
        <v>18357088762</v>
      </c>
      <c r="R13" s="127" t="s">
        <v>95</v>
      </c>
      <c r="S13" s="127" t="s">
        <v>96</v>
      </c>
      <c r="T13" s="127"/>
      <c r="U13" s="127" t="s">
        <v>97</v>
      </c>
      <c r="V13" s="127">
        <v>13373984718</v>
      </c>
      <c r="W13" s="127" t="s">
        <v>106</v>
      </c>
      <c r="X13" s="127" t="s">
        <v>88</v>
      </c>
      <c r="Y13" s="127" t="s">
        <v>107</v>
      </c>
      <c r="Z13" s="127" t="s">
        <v>90</v>
      </c>
      <c r="AA13" s="128">
        <v>2627.5283</v>
      </c>
      <c r="AB13" s="128">
        <v>42.69</v>
      </c>
      <c r="AC13" s="128">
        <v>42.69</v>
      </c>
      <c r="AD13" s="128"/>
      <c r="AE13" s="127" t="s">
        <v>57</v>
      </c>
      <c r="AF13" s="128"/>
      <c r="AG13" s="128"/>
      <c r="AH13" s="128"/>
      <c r="AI13" s="128"/>
      <c r="AJ13" s="128"/>
      <c r="AK13" s="128"/>
      <c r="AL13" s="128"/>
      <c r="AM13" s="128"/>
    </row>
    <row r="14" customHeight="1" spans="1:39">
      <c r="A14" s="127" t="s">
        <v>39</v>
      </c>
      <c r="B14" s="127" t="s">
        <v>40</v>
      </c>
      <c r="C14" s="127" t="s">
        <v>41</v>
      </c>
      <c r="D14" s="127" t="s">
        <v>42</v>
      </c>
      <c r="E14" s="127"/>
      <c r="F14" s="127" t="s">
        <v>43</v>
      </c>
      <c r="G14" s="127" t="s">
        <v>44</v>
      </c>
      <c r="H14" s="127" t="s">
        <v>45</v>
      </c>
      <c r="I14" s="127">
        <v>7001221</v>
      </c>
      <c r="J14" s="127" t="s">
        <v>46</v>
      </c>
      <c r="K14" s="127">
        <v>13656706121</v>
      </c>
      <c r="L14" s="127" t="s">
        <v>47</v>
      </c>
      <c r="M14" s="127"/>
      <c r="N14" s="127" t="s">
        <v>48</v>
      </c>
      <c r="O14" s="127"/>
      <c r="P14" s="127" t="s">
        <v>49</v>
      </c>
      <c r="Q14" s="127">
        <v>18357088762</v>
      </c>
      <c r="R14" s="127" t="s">
        <v>95</v>
      </c>
      <c r="S14" s="127" t="s">
        <v>96</v>
      </c>
      <c r="T14" s="127"/>
      <c r="U14" s="127" t="s">
        <v>97</v>
      </c>
      <c r="V14" s="127">
        <v>13373984718</v>
      </c>
      <c r="W14" s="127" t="s">
        <v>108</v>
      </c>
      <c r="X14" s="127" t="s">
        <v>109</v>
      </c>
      <c r="Y14" s="127" t="s">
        <v>110</v>
      </c>
      <c r="Z14" s="127" t="s">
        <v>111</v>
      </c>
      <c r="AA14" s="128">
        <v>2627.5283</v>
      </c>
      <c r="AB14" s="128">
        <v>105.57</v>
      </c>
      <c r="AC14" s="128">
        <v>105.55</v>
      </c>
      <c r="AD14" s="128"/>
      <c r="AE14" s="127" t="s">
        <v>57</v>
      </c>
      <c r="AF14" s="128"/>
      <c r="AG14" s="128"/>
      <c r="AH14" s="128"/>
      <c r="AI14" s="128"/>
      <c r="AJ14" s="128"/>
      <c r="AK14" s="128"/>
      <c r="AL14" s="128"/>
      <c r="AM14" s="128"/>
    </row>
    <row r="15" customHeight="1" spans="1:39">
      <c r="A15" s="127" t="s">
        <v>39</v>
      </c>
      <c r="B15" s="127" t="s">
        <v>40</v>
      </c>
      <c r="C15" s="127" t="s">
        <v>41</v>
      </c>
      <c r="D15" s="127" t="s">
        <v>42</v>
      </c>
      <c r="E15" s="127"/>
      <c r="F15" s="127" t="s">
        <v>43</v>
      </c>
      <c r="G15" s="127" t="s">
        <v>44</v>
      </c>
      <c r="H15" s="127" t="s">
        <v>45</v>
      </c>
      <c r="I15" s="127">
        <v>7001221</v>
      </c>
      <c r="J15" s="127" t="s">
        <v>46</v>
      </c>
      <c r="K15" s="127">
        <v>13656706121</v>
      </c>
      <c r="L15" s="127" t="s">
        <v>47</v>
      </c>
      <c r="M15" s="127"/>
      <c r="N15" s="127" t="s">
        <v>48</v>
      </c>
      <c r="O15" s="127"/>
      <c r="P15" s="127" t="s">
        <v>49</v>
      </c>
      <c r="Q15" s="127">
        <v>18357088762</v>
      </c>
      <c r="R15" s="127" t="s">
        <v>95</v>
      </c>
      <c r="S15" s="127" t="s">
        <v>96</v>
      </c>
      <c r="T15" s="127"/>
      <c r="U15" s="127" t="s">
        <v>97</v>
      </c>
      <c r="V15" s="127">
        <v>13373984718</v>
      </c>
      <c r="W15" s="127" t="s">
        <v>112</v>
      </c>
      <c r="X15" s="127" t="s">
        <v>113</v>
      </c>
      <c r="Y15" s="127" t="s">
        <v>114</v>
      </c>
      <c r="Z15" s="127" t="s">
        <v>115</v>
      </c>
      <c r="AA15" s="128">
        <v>2627.5283</v>
      </c>
      <c r="AB15" s="128">
        <v>199.27</v>
      </c>
      <c r="AC15" s="128">
        <v>199.23</v>
      </c>
      <c r="AD15" s="128"/>
      <c r="AE15" s="127" t="s">
        <v>57</v>
      </c>
      <c r="AF15" s="128"/>
      <c r="AG15" s="128"/>
      <c r="AH15" s="128"/>
      <c r="AI15" s="128"/>
      <c r="AJ15" s="128"/>
      <c r="AK15" s="128"/>
      <c r="AL15" s="128"/>
      <c r="AM15" s="128"/>
    </row>
    <row r="16" customHeight="1" spans="1:39">
      <c r="A16" s="127" t="s">
        <v>39</v>
      </c>
      <c r="B16" s="127" t="s">
        <v>40</v>
      </c>
      <c r="C16" s="127" t="s">
        <v>41</v>
      </c>
      <c r="D16" s="127" t="s">
        <v>42</v>
      </c>
      <c r="E16" s="127"/>
      <c r="F16" s="127" t="s">
        <v>43</v>
      </c>
      <c r="G16" s="127" t="s">
        <v>44</v>
      </c>
      <c r="H16" s="127" t="s">
        <v>45</v>
      </c>
      <c r="I16" s="127">
        <v>7001221</v>
      </c>
      <c r="J16" s="127" t="s">
        <v>46</v>
      </c>
      <c r="K16" s="127">
        <v>13656706121</v>
      </c>
      <c r="L16" s="127" t="s">
        <v>47</v>
      </c>
      <c r="M16" s="127"/>
      <c r="N16" s="127" t="s">
        <v>48</v>
      </c>
      <c r="O16" s="127"/>
      <c r="P16" s="127" t="s">
        <v>49</v>
      </c>
      <c r="Q16" s="127">
        <v>18357088762</v>
      </c>
      <c r="R16" s="127" t="s">
        <v>116</v>
      </c>
      <c r="S16" s="127" t="s">
        <v>117</v>
      </c>
      <c r="T16" s="127"/>
      <c r="U16" s="127" t="s">
        <v>118</v>
      </c>
      <c r="V16" s="127">
        <v>15857024609</v>
      </c>
      <c r="W16" s="127" t="s">
        <v>119</v>
      </c>
      <c r="X16" s="127" t="s">
        <v>120</v>
      </c>
      <c r="Y16" s="127" t="s">
        <v>121</v>
      </c>
      <c r="Z16" s="127" t="s">
        <v>122</v>
      </c>
      <c r="AA16" s="128">
        <v>2627.5283</v>
      </c>
      <c r="AB16" s="128">
        <v>95.12</v>
      </c>
      <c r="AC16" s="128">
        <v>95.09</v>
      </c>
      <c r="AD16" s="128"/>
      <c r="AE16" s="127" t="s">
        <v>57</v>
      </c>
      <c r="AF16" s="128"/>
      <c r="AG16" s="128"/>
      <c r="AH16" s="128"/>
      <c r="AI16" s="128"/>
      <c r="AJ16" s="128"/>
      <c r="AK16" s="128"/>
      <c r="AL16" s="128"/>
      <c r="AM16" s="128"/>
    </row>
    <row r="17" customHeight="1" spans="1:39">
      <c r="A17" s="127" t="s">
        <v>39</v>
      </c>
      <c r="B17" s="127" t="s">
        <v>40</v>
      </c>
      <c r="C17" s="127" t="s">
        <v>41</v>
      </c>
      <c r="D17" s="127" t="s">
        <v>42</v>
      </c>
      <c r="E17" s="127"/>
      <c r="F17" s="127" t="s">
        <v>43</v>
      </c>
      <c r="G17" s="127" t="s">
        <v>44</v>
      </c>
      <c r="H17" s="127" t="s">
        <v>45</v>
      </c>
      <c r="I17" s="127">
        <v>7001221</v>
      </c>
      <c r="J17" s="127" t="s">
        <v>46</v>
      </c>
      <c r="K17" s="127">
        <v>13656706121</v>
      </c>
      <c r="L17" s="127" t="s">
        <v>47</v>
      </c>
      <c r="M17" s="127"/>
      <c r="N17" s="127" t="s">
        <v>48</v>
      </c>
      <c r="O17" s="127"/>
      <c r="P17" s="127" t="s">
        <v>49</v>
      </c>
      <c r="Q17" s="127">
        <v>18357088762</v>
      </c>
      <c r="R17" s="127" t="s">
        <v>116</v>
      </c>
      <c r="S17" s="127" t="s">
        <v>117</v>
      </c>
      <c r="T17" s="127"/>
      <c r="U17" s="127" t="s">
        <v>118</v>
      </c>
      <c r="V17" s="127">
        <v>15857024609</v>
      </c>
      <c r="W17" s="127" t="s">
        <v>123</v>
      </c>
      <c r="X17" s="127" t="s">
        <v>117</v>
      </c>
      <c r="Y17" s="127" t="s">
        <v>124</v>
      </c>
      <c r="Z17" s="127" t="s">
        <v>125</v>
      </c>
      <c r="AA17" s="128">
        <v>2627.5283</v>
      </c>
      <c r="AB17" s="128">
        <v>77.8</v>
      </c>
      <c r="AC17" s="128">
        <v>77.52</v>
      </c>
      <c r="AD17" s="128"/>
      <c r="AE17" s="127" t="s">
        <v>57</v>
      </c>
      <c r="AF17" s="128"/>
      <c r="AG17" s="128"/>
      <c r="AH17" s="128"/>
      <c r="AI17" s="128"/>
      <c r="AJ17" s="128"/>
      <c r="AK17" s="128"/>
      <c r="AL17" s="128"/>
      <c r="AM17" s="128"/>
    </row>
    <row r="18" customHeight="1" spans="1:39">
      <c r="A18" s="127" t="s">
        <v>39</v>
      </c>
      <c r="B18" s="127" t="s">
        <v>40</v>
      </c>
      <c r="C18" s="127" t="s">
        <v>41</v>
      </c>
      <c r="D18" s="127" t="s">
        <v>42</v>
      </c>
      <c r="E18" s="127"/>
      <c r="F18" s="127" t="s">
        <v>43</v>
      </c>
      <c r="G18" s="127" t="s">
        <v>44</v>
      </c>
      <c r="H18" s="127" t="s">
        <v>45</v>
      </c>
      <c r="I18" s="127">
        <v>7001221</v>
      </c>
      <c r="J18" s="127" t="s">
        <v>46</v>
      </c>
      <c r="K18" s="127">
        <v>13656706121</v>
      </c>
      <c r="L18" s="127" t="s">
        <v>47</v>
      </c>
      <c r="M18" s="127"/>
      <c r="N18" s="127" t="s">
        <v>48</v>
      </c>
      <c r="O18" s="127"/>
      <c r="P18" s="127" t="s">
        <v>49</v>
      </c>
      <c r="Q18" s="127">
        <v>18357088762</v>
      </c>
      <c r="R18" s="127" t="s">
        <v>116</v>
      </c>
      <c r="S18" s="127" t="s">
        <v>117</v>
      </c>
      <c r="T18" s="127"/>
      <c r="U18" s="127" t="s">
        <v>118</v>
      </c>
      <c r="V18" s="127">
        <v>15857024609</v>
      </c>
      <c r="W18" s="127" t="s">
        <v>126</v>
      </c>
      <c r="X18" s="127" t="s">
        <v>127</v>
      </c>
      <c r="Y18" s="127" t="s">
        <v>128</v>
      </c>
      <c r="Z18" s="127" t="s">
        <v>129</v>
      </c>
      <c r="AA18" s="128">
        <v>5.6</v>
      </c>
      <c r="AB18" s="128">
        <v>5.64</v>
      </c>
      <c r="AC18" s="128">
        <v>5.61</v>
      </c>
      <c r="AD18" s="128"/>
      <c r="AE18" s="127" t="s">
        <v>130</v>
      </c>
      <c r="AF18" s="128"/>
      <c r="AG18" s="128"/>
      <c r="AH18" s="128"/>
      <c r="AI18" s="128"/>
      <c r="AJ18" s="128"/>
      <c r="AK18" s="128"/>
      <c r="AL18" s="128"/>
      <c r="AM18" s="128"/>
    </row>
    <row r="19" customHeight="1" spans="1:39">
      <c r="A19" s="127" t="s">
        <v>39</v>
      </c>
      <c r="B19" s="127" t="s">
        <v>40</v>
      </c>
      <c r="C19" s="127" t="s">
        <v>41</v>
      </c>
      <c r="D19" s="127" t="s">
        <v>42</v>
      </c>
      <c r="E19" s="127"/>
      <c r="F19" s="127" t="s">
        <v>43</v>
      </c>
      <c r="G19" s="127" t="s">
        <v>44</v>
      </c>
      <c r="H19" s="127" t="s">
        <v>45</v>
      </c>
      <c r="I19" s="127">
        <v>7001221</v>
      </c>
      <c r="J19" s="127" t="s">
        <v>46</v>
      </c>
      <c r="K19" s="127">
        <v>13656706121</v>
      </c>
      <c r="L19" s="127" t="s">
        <v>47</v>
      </c>
      <c r="M19" s="127"/>
      <c r="N19" s="127" t="s">
        <v>48</v>
      </c>
      <c r="O19" s="127"/>
      <c r="P19" s="127" t="s">
        <v>49</v>
      </c>
      <c r="Q19" s="127">
        <v>18357088762</v>
      </c>
      <c r="R19" s="127" t="s">
        <v>116</v>
      </c>
      <c r="S19" s="127" t="s">
        <v>117</v>
      </c>
      <c r="T19" s="127"/>
      <c r="U19" s="127" t="s">
        <v>118</v>
      </c>
      <c r="V19" s="127">
        <v>15857024609</v>
      </c>
      <c r="W19" s="127" t="s">
        <v>131</v>
      </c>
      <c r="X19" s="127" t="s">
        <v>132</v>
      </c>
      <c r="Y19" s="127" t="s">
        <v>133</v>
      </c>
      <c r="Z19" s="127" t="s">
        <v>134</v>
      </c>
      <c r="AA19" s="128">
        <v>2627.5283</v>
      </c>
      <c r="AB19" s="128">
        <v>0</v>
      </c>
      <c r="AC19" s="128">
        <v>0.26</v>
      </c>
      <c r="AD19" s="128"/>
      <c r="AE19" s="127" t="s">
        <v>57</v>
      </c>
      <c r="AF19" s="128"/>
      <c r="AG19" s="128"/>
      <c r="AH19" s="128"/>
      <c r="AI19" s="128"/>
      <c r="AJ19" s="128"/>
      <c r="AK19" s="128"/>
      <c r="AL19" s="128"/>
      <c r="AM19" s="128"/>
    </row>
    <row r="20" customHeight="1" spans="1:39">
      <c r="A20" s="127" t="s">
        <v>39</v>
      </c>
      <c r="B20" s="127" t="s">
        <v>40</v>
      </c>
      <c r="C20" s="127" t="s">
        <v>41</v>
      </c>
      <c r="D20" s="127" t="s">
        <v>42</v>
      </c>
      <c r="E20" s="127"/>
      <c r="F20" s="127" t="s">
        <v>43</v>
      </c>
      <c r="G20" s="127" t="s">
        <v>44</v>
      </c>
      <c r="H20" s="127" t="s">
        <v>45</v>
      </c>
      <c r="I20" s="127">
        <v>7001221</v>
      </c>
      <c r="J20" s="127" t="s">
        <v>46</v>
      </c>
      <c r="K20" s="127">
        <v>13656706121</v>
      </c>
      <c r="L20" s="127" t="s">
        <v>47</v>
      </c>
      <c r="M20" s="127"/>
      <c r="N20" s="127" t="s">
        <v>48</v>
      </c>
      <c r="O20" s="127"/>
      <c r="P20" s="127" t="s">
        <v>49</v>
      </c>
      <c r="Q20" s="127">
        <v>18357088762</v>
      </c>
      <c r="R20" s="127" t="s">
        <v>116</v>
      </c>
      <c r="S20" s="127" t="s">
        <v>117</v>
      </c>
      <c r="T20" s="127"/>
      <c r="U20" s="127" t="s">
        <v>118</v>
      </c>
      <c r="V20" s="127">
        <v>15857024609</v>
      </c>
      <c r="W20" s="127" t="s">
        <v>135</v>
      </c>
      <c r="X20" s="127" t="s">
        <v>136</v>
      </c>
      <c r="Y20" s="127" t="s">
        <v>137</v>
      </c>
      <c r="Z20" s="127" t="s">
        <v>138</v>
      </c>
      <c r="AA20" s="128">
        <v>2627.5283</v>
      </c>
      <c r="AB20" s="128">
        <v>0</v>
      </c>
      <c r="AC20" s="128">
        <v>86.03</v>
      </c>
      <c r="AD20" s="128"/>
      <c r="AE20" s="127" t="s">
        <v>57</v>
      </c>
      <c r="AF20" s="128"/>
      <c r="AG20" s="128"/>
      <c r="AH20" s="128"/>
      <c r="AI20" s="128"/>
      <c r="AJ20" s="128"/>
      <c r="AK20" s="128"/>
      <c r="AL20" s="128"/>
      <c r="AM20" s="128"/>
    </row>
    <row r="21" customHeight="1" spans="1:39">
      <c r="A21" s="127" t="s">
        <v>39</v>
      </c>
      <c r="B21" s="127" t="s">
        <v>40</v>
      </c>
      <c r="C21" s="127" t="s">
        <v>41</v>
      </c>
      <c r="D21" s="127" t="s">
        <v>42</v>
      </c>
      <c r="E21" s="127"/>
      <c r="F21" s="127" t="s">
        <v>43</v>
      </c>
      <c r="G21" s="127" t="s">
        <v>44</v>
      </c>
      <c r="H21" s="127" t="s">
        <v>45</v>
      </c>
      <c r="I21" s="127">
        <v>7001221</v>
      </c>
      <c r="J21" s="127" t="s">
        <v>46</v>
      </c>
      <c r="K21" s="127">
        <v>13656706121</v>
      </c>
      <c r="L21" s="127" t="s">
        <v>47</v>
      </c>
      <c r="M21" s="127"/>
      <c r="N21" s="127" t="s">
        <v>48</v>
      </c>
      <c r="O21" s="127"/>
      <c r="P21" s="127" t="s">
        <v>49</v>
      </c>
      <c r="Q21" s="127">
        <v>18357088762</v>
      </c>
      <c r="R21" s="127" t="s">
        <v>116</v>
      </c>
      <c r="S21" s="127" t="s">
        <v>117</v>
      </c>
      <c r="T21" s="127"/>
      <c r="U21" s="127" t="s">
        <v>118</v>
      </c>
      <c r="V21" s="127">
        <v>15857024609</v>
      </c>
      <c r="W21" s="127" t="s">
        <v>139</v>
      </c>
      <c r="X21" s="127" t="s">
        <v>140</v>
      </c>
      <c r="Y21" s="127" t="s">
        <v>141</v>
      </c>
      <c r="Z21" s="127" t="s">
        <v>142</v>
      </c>
      <c r="AA21" s="128">
        <v>2627.5283</v>
      </c>
      <c r="AB21" s="128">
        <v>8.12</v>
      </c>
      <c r="AC21" s="128">
        <v>8.11</v>
      </c>
      <c r="AD21" s="128"/>
      <c r="AE21" s="127" t="s">
        <v>57</v>
      </c>
      <c r="AF21" s="128"/>
      <c r="AG21" s="128"/>
      <c r="AH21" s="128"/>
      <c r="AI21" s="128"/>
      <c r="AJ21" s="128"/>
      <c r="AK21" s="128"/>
      <c r="AL21" s="128"/>
      <c r="AM21" s="128"/>
    </row>
    <row r="22" customHeight="1" spans="1:39">
      <c r="A22" s="127" t="s">
        <v>39</v>
      </c>
      <c r="B22" s="127" t="s">
        <v>40</v>
      </c>
      <c r="C22" s="127" t="s">
        <v>41</v>
      </c>
      <c r="D22" s="127" t="s">
        <v>42</v>
      </c>
      <c r="E22" s="127"/>
      <c r="F22" s="127" t="s">
        <v>43</v>
      </c>
      <c r="G22" s="127" t="s">
        <v>44</v>
      </c>
      <c r="H22" s="127" t="s">
        <v>45</v>
      </c>
      <c r="I22" s="127">
        <v>7001221</v>
      </c>
      <c r="J22" s="127" t="s">
        <v>46</v>
      </c>
      <c r="K22" s="127">
        <v>13656706121</v>
      </c>
      <c r="L22" s="127" t="s">
        <v>47</v>
      </c>
      <c r="M22" s="127"/>
      <c r="N22" s="127" t="s">
        <v>48</v>
      </c>
      <c r="O22" s="127"/>
      <c r="P22" s="127" t="s">
        <v>49</v>
      </c>
      <c r="Q22" s="127">
        <v>18357088762</v>
      </c>
      <c r="R22" s="127" t="s">
        <v>116</v>
      </c>
      <c r="S22" s="127" t="s">
        <v>117</v>
      </c>
      <c r="T22" s="127"/>
      <c r="U22" s="127" t="s">
        <v>118</v>
      </c>
      <c r="V22" s="127">
        <v>15857024609</v>
      </c>
      <c r="W22" s="127" t="s">
        <v>143</v>
      </c>
      <c r="X22" s="127" t="s">
        <v>144</v>
      </c>
      <c r="Y22" s="127" t="s">
        <v>145</v>
      </c>
      <c r="Z22" s="127" t="s">
        <v>146</v>
      </c>
      <c r="AA22" s="128">
        <v>2627.5283</v>
      </c>
      <c r="AB22" s="128">
        <v>55.85</v>
      </c>
      <c r="AC22" s="128">
        <v>55.8</v>
      </c>
      <c r="AD22" s="128"/>
      <c r="AE22" s="127" t="s">
        <v>57</v>
      </c>
      <c r="AF22" s="128"/>
      <c r="AG22" s="128"/>
      <c r="AH22" s="128"/>
      <c r="AI22" s="128"/>
      <c r="AJ22" s="128"/>
      <c r="AK22" s="128"/>
      <c r="AL22" s="128"/>
      <c r="AM22" s="128"/>
    </row>
    <row r="23" customHeight="1" spans="1:39">
      <c r="A23" s="127" t="s">
        <v>39</v>
      </c>
      <c r="B23" s="127" t="s">
        <v>40</v>
      </c>
      <c r="C23" s="127" t="s">
        <v>41</v>
      </c>
      <c r="D23" s="127" t="s">
        <v>42</v>
      </c>
      <c r="E23" s="127"/>
      <c r="F23" s="127" t="s">
        <v>43</v>
      </c>
      <c r="G23" s="127" t="s">
        <v>44</v>
      </c>
      <c r="H23" s="127" t="s">
        <v>45</v>
      </c>
      <c r="I23" s="127">
        <v>7001221</v>
      </c>
      <c r="J23" s="127" t="s">
        <v>46</v>
      </c>
      <c r="K23" s="127">
        <v>13656706121</v>
      </c>
      <c r="L23" s="127" t="s">
        <v>47</v>
      </c>
      <c r="M23" s="127"/>
      <c r="N23" s="127" t="s">
        <v>48</v>
      </c>
      <c r="O23" s="127"/>
      <c r="P23" s="127" t="s">
        <v>49</v>
      </c>
      <c r="Q23" s="127">
        <v>18357088762</v>
      </c>
      <c r="R23" s="127" t="s">
        <v>116</v>
      </c>
      <c r="S23" s="127" t="s">
        <v>117</v>
      </c>
      <c r="T23" s="127"/>
      <c r="U23" s="127" t="s">
        <v>118</v>
      </c>
      <c r="V23" s="127">
        <v>15857024609</v>
      </c>
      <c r="W23" s="127" t="s">
        <v>147</v>
      </c>
      <c r="X23" s="127" t="s">
        <v>148</v>
      </c>
      <c r="Y23" s="127" t="s">
        <v>149</v>
      </c>
      <c r="Z23" s="127" t="s">
        <v>150</v>
      </c>
      <c r="AA23" s="128">
        <v>2627.5283</v>
      </c>
      <c r="AB23" s="128">
        <v>89.48</v>
      </c>
      <c r="AC23" s="128">
        <v>0</v>
      </c>
      <c r="AD23" s="128"/>
      <c r="AE23" s="127" t="s">
        <v>57</v>
      </c>
      <c r="AF23" s="128"/>
      <c r="AG23" s="128"/>
      <c r="AH23" s="128"/>
      <c r="AI23" s="128"/>
      <c r="AJ23" s="128"/>
      <c r="AK23" s="128"/>
      <c r="AL23" s="128"/>
      <c r="AM23" s="128"/>
    </row>
    <row r="24" customHeight="1" spans="1:39">
      <c r="A24" s="127" t="s">
        <v>39</v>
      </c>
      <c r="B24" s="127" t="s">
        <v>40</v>
      </c>
      <c r="C24" s="127" t="s">
        <v>41</v>
      </c>
      <c r="D24" s="127" t="s">
        <v>42</v>
      </c>
      <c r="E24" s="127"/>
      <c r="F24" s="127" t="s">
        <v>43</v>
      </c>
      <c r="G24" s="127" t="s">
        <v>44</v>
      </c>
      <c r="H24" s="127" t="s">
        <v>45</v>
      </c>
      <c r="I24" s="127">
        <v>7001221</v>
      </c>
      <c r="J24" s="127" t="s">
        <v>46</v>
      </c>
      <c r="K24" s="127">
        <v>13656706121</v>
      </c>
      <c r="L24" s="127" t="s">
        <v>47</v>
      </c>
      <c r="M24" s="127"/>
      <c r="N24" s="127" t="s">
        <v>48</v>
      </c>
      <c r="O24" s="127"/>
      <c r="P24" s="127" t="s">
        <v>49</v>
      </c>
      <c r="Q24" s="127">
        <v>18357088762</v>
      </c>
      <c r="R24" s="127" t="s">
        <v>116</v>
      </c>
      <c r="S24" s="127" t="s">
        <v>117</v>
      </c>
      <c r="T24" s="127"/>
      <c r="U24" s="127" t="s">
        <v>118</v>
      </c>
      <c r="V24" s="127">
        <v>15857024609</v>
      </c>
      <c r="W24" s="127" t="s">
        <v>151</v>
      </c>
      <c r="X24" s="127" t="s">
        <v>152</v>
      </c>
      <c r="Y24" s="127" t="s">
        <v>153</v>
      </c>
      <c r="Z24" s="127" t="s">
        <v>154</v>
      </c>
      <c r="AA24" s="128">
        <v>2627.5283</v>
      </c>
      <c r="AB24" s="128">
        <v>15.99</v>
      </c>
      <c r="AC24" s="128">
        <v>0</v>
      </c>
      <c r="AD24" s="128"/>
      <c r="AE24" s="127" t="s">
        <v>57</v>
      </c>
      <c r="AF24" s="128"/>
      <c r="AG24" s="128"/>
      <c r="AH24" s="128"/>
      <c r="AI24" s="128"/>
      <c r="AJ24" s="128"/>
      <c r="AK24" s="128"/>
      <c r="AL24" s="128"/>
      <c r="AM24" s="128"/>
    </row>
    <row r="25" customHeight="1" spans="1:39">
      <c r="A25" s="127" t="s">
        <v>39</v>
      </c>
      <c r="B25" s="127" t="s">
        <v>40</v>
      </c>
      <c r="C25" s="127" t="s">
        <v>41</v>
      </c>
      <c r="D25" s="127" t="s">
        <v>42</v>
      </c>
      <c r="E25" s="127"/>
      <c r="F25" s="127" t="s">
        <v>43</v>
      </c>
      <c r="G25" s="127" t="s">
        <v>44</v>
      </c>
      <c r="H25" s="127" t="s">
        <v>45</v>
      </c>
      <c r="I25" s="127">
        <v>7001221</v>
      </c>
      <c r="J25" s="127" t="s">
        <v>46</v>
      </c>
      <c r="K25" s="127">
        <v>13656706121</v>
      </c>
      <c r="L25" s="127" t="s">
        <v>47</v>
      </c>
      <c r="M25" s="127"/>
      <c r="N25" s="127" t="s">
        <v>48</v>
      </c>
      <c r="O25" s="127"/>
      <c r="P25" s="127" t="s">
        <v>49</v>
      </c>
      <c r="Q25" s="127">
        <v>18357088762</v>
      </c>
      <c r="R25" s="127" t="s">
        <v>116</v>
      </c>
      <c r="S25" s="127" t="s">
        <v>117</v>
      </c>
      <c r="T25" s="127"/>
      <c r="U25" s="127" t="s">
        <v>118</v>
      </c>
      <c r="V25" s="127">
        <v>15857024609</v>
      </c>
      <c r="W25" s="127" t="s">
        <v>155</v>
      </c>
      <c r="X25" s="127" t="s">
        <v>156</v>
      </c>
      <c r="Y25" s="127" t="s">
        <v>157</v>
      </c>
      <c r="Z25" s="127" t="s">
        <v>158</v>
      </c>
      <c r="AA25" s="128">
        <v>2627.5283</v>
      </c>
      <c r="AB25" s="128">
        <v>0</v>
      </c>
      <c r="AC25" s="128">
        <v>15.98</v>
      </c>
      <c r="AD25" s="128"/>
      <c r="AE25" s="127" t="s">
        <v>57</v>
      </c>
      <c r="AF25" s="128"/>
      <c r="AG25" s="128"/>
      <c r="AH25" s="128"/>
      <c r="AI25" s="128"/>
      <c r="AJ25" s="128"/>
      <c r="AK25" s="128"/>
      <c r="AL25" s="128"/>
      <c r="AM25" s="128"/>
    </row>
    <row r="26" customHeight="1" spans="1:39">
      <c r="A26" s="127" t="s">
        <v>39</v>
      </c>
      <c r="B26" s="127" t="s">
        <v>40</v>
      </c>
      <c r="C26" s="127" t="s">
        <v>41</v>
      </c>
      <c r="D26" s="127" t="s">
        <v>42</v>
      </c>
      <c r="E26" s="127"/>
      <c r="F26" s="127" t="s">
        <v>43</v>
      </c>
      <c r="G26" s="127" t="s">
        <v>44</v>
      </c>
      <c r="H26" s="127" t="s">
        <v>45</v>
      </c>
      <c r="I26" s="127">
        <v>7001221</v>
      </c>
      <c r="J26" s="127" t="s">
        <v>46</v>
      </c>
      <c r="K26" s="127">
        <v>13656706121</v>
      </c>
      <c r="L26" s="127" t="s">
        <v>47</v>
      </c>
      <c r="M26" s="127"/>
      <c r="N26" s="127" t="s">
        <v>48</v>
      </c>
      <c r="O26" s="127"/>
      <c r="P26" s="127" t="s">
        <v>49</v>
      </c>
      <c r="Q26" s="127">
        <v>18357088762</v>
      </c>
      <c r="R26" s="127" t="s">
        <v>116</v>
      </c>
      <c r="S26" s="127" t="s">
        <v>117</v>
      </c>
      <c r="T26" s="127"/>
      <c r="U26" s="127" t="s">
        <v>118</v>
      </c>
      <c r="V26" s="127">
        <v>15857024609</v>
      </c>
      <c r="W26" s="127" t="s">
        <v>159</v>
      </c>
      <c r="X26" s="127" t="s">
        <v>160</v>
      </c>
      <c r="Y26" s="127" t="s">
        <v>161</v>
      </c>
      <c r="Z26" s="127" t="s">
        <v>162</v>
      </c>
      <c r="AA26" s="128">
        <v>2627.5283</v>
      </c>
      <c r="AB26" s="128">
        <v>26.68</v>
      </c>
      <c r="AC26" s="128">
        <v>26.67</v>
      </c>
      <c r="AD26" s="128"/>
      <c r="AE26" s="127" t="s">
        <v>57</v>
      </c>
      <c r="AF26" s="128"/>
      <c r="AG26" s="128"/>
      <c r="AH26" s="128"/>
      <c r="AI26" s="128"/>
      <c r="AJ26" s="128"/>
      <c r="AK26" s="128"/>
      <c r="AL26" s="128"/>
      <c r="AM26" s="128"/>
    </row>
    <row r="27" customHeight="1" spans="1:39">
      <c r="A27" s="127" t="s">
        <v>39</v>
      </c>
      <c r="B27" s="127" t="s">
        <v>40</v>
      </c>
      <c r="C27" s="127" t="s">
        <v>41</v>
      </c>
      <c r="D27" s="127" t="s">
        <v>42</v>
      </c>
      <c r="E27" s="127"/>
      <c r="F27" s="127" t="s">
        <v>43</v>
      </c>
      <c r="G27" s="127" t="s">
        <v>44</v>
      </c>
      <c r="H27" s="127" t="s">
        <v>45</v>
      </c>
      <c r="I27" s="127">
        <v>7001221</v>
      </c>
      <c r="J27" s="127" t="s">
        <v>46</v>
      </c>
      <c r="K27" s="127">
        <v>13656706121</v>
      </c>
      <c r="L27" s="127" t="s">
        <v>47</v>
      </c>
      <c r="M27" s="127"/>
      <c r="N27" s="127" t="s">
        <v>48</v>
      </c>
      <c r="O27" s="127"/>
      <c r="P27" s="127" t="s">
        <v>49</v>
      </c>
      <c r="Q27" s="127">
        <v>18357088762</v>
      </c>
      <c r="R27" s="127" t="s">
        <v>116</v>
      </c>
      <c r="S27" s="127" t="s">
        <v>117</v>
      </c>
      <c r="T27" s="127"/>
      <c r="U27" s="127" t="s">
        <v>118</v>
      </c>
      <c r="V27" s="127">
        <v>15857024609</v>
      </c>
      <c r="W27" s="127" t="s">
        <v>163</v>
      </c>
      <c r="X27" s="127" t="s">
        <v>164</v>
      </c>
      <c r="Y27" s="127" t="s">
        <v>165</v>
      </c>
      <c r="Z27" s="127" t="s">
        <v>166</v>
      </c>
      <c r="AA27" s="128">
        <v>48</v>
      </c>
      <c r="AB27" s="128">
        <v>48.33</v>
      </c>
      <c r="AC27" s="128">
        <v>48.33</v>
      </c>
      <c r="AD27" s="128"/>
      <c r="AE27" s="127" t="s">
        <v>167</v>
      </c>
      <c r="AF27" s="128"/>
      <c r="AG27" s="128"/>
      <c r="AH27" s="128"/>
      <c r="AI27" s="128"/>
      <c r="AJ27" s="128"/>
      <c r="AK27" s="128"/>
      <c r="AL27" s="128"/>
      <c r="AM27" s="128"/>
    </row>
    <row r="28" customHeight="1" spans="1:39">
      <c r="A28" s="127" t="s">
        <v>39</v>
      </c>
      <c r="B28" s="127" t="s">
        <v>40</v>
      </c>
      <c r="C28" s="127" t="s">
        <v>41</v>
      </c>
      <c r="D28" s="127" t="s">
        <v>42</v>
      </c>
      <c r="E28" s="127"/>
      <c r="F28" s="127" t="s">
        <v>43</v>
      </c>
      <c r="G28" s="127" t="s">
        <v>44</v>
      </c>
      <c r="H28" s="127" t="s">
        <v>45</v>
      </c>
      <c r="I28" s="127">
        <v>7001221</v>
      </c>
      <c r="J28" s="127" t="s">
        <v>46</v>
      </c>
      <c r="K28" s="127">
        <v>13656706121</v>
      </c>
      <c r="L28" s="127" t="s">
        <v>47</v>
      </c>
      <c r="M28" s="127"/>
      <c r="N28" s="127" t="s">
        <v>48</v>
      </c>
      <c r="O28" s="127"/>
      <c r="P28" s="127" t="s">
        <v>49</v>
      </c>
      <c r="Q28" s="127">
        <v>18357088762</v>
      </c>
      <c r="R28" s="127" t="s">
        <v>116</v>
      </c>
      <c r="S28" s="127" t="s">
        <v>117</v>
      </c>
      <c r="T28" s="127"/>
      <c r="U28" s="127" t="s">
        <v>118</v>
      </c>
      <c r="V28" s="127">
        <v>15857024609</v>
      </c>
      <c r="W28" s="127" t="s">
        <v>168</v>
      </c>
      <c r="X28" s="127" t="s">
        <v>169</v>
      </c>
      <c r="Y28" s="127" t="s">
        <v>170</v>
      </c>
      <c r="Z28" s="127" t="s">
        <v>171</v>
      </c>
      <c r="AA28" s="128">
        <v>2627.5283</v>
      </c>
      <c r="AB28" s="128">
        <v>97.4</v>
      </c>
      <c r="AC28" s="128">
        <v>100.71</v>
      </c>
      <c r="AD28" s="128"/>
      <c r="AE28" s="127" t="s">
        <v>57</v>
      </c>
      <c r="AF28" s="128"/>
      <c r="AG28" s="128"/>
      <c r="AH28" s="128"/>
      <c r="AI28" s="128"/>
      <c r="AJ28" s="128"/>
      <c r="AK28" s="128"/>
      <c r="AL28" s="128"/>
      <c r="AM28" s="128"/>
    </row>
    <row r="29" customHeight="1" spans="1:39">
      <c r="A29" s="127" t="s">
        <v>39</v>
      </c>
      <c r="B29" s="127" t="s">
        <v>40</v>
      </c>
      <c r="C29" s="127" t="s">
        <v>41</v>
      </c>
      <c r="D29" s="127" t="s">
        <v>172</v>
      </c>
      <c r="E29" s="127"/>
      <c r="F29" s="127" t="s">
        <v>43</v>
      </c>
      <c r="G29" s="127" t="s">
        <v>44</v>
      </c>
      <c r="H29" s="127" t="s">
        <v>45</v>
      </c>
      <c r="I29" s="127">
        <v>7001221</v>
      </c>
      <c r="J29" s="127" t="s">
        <v>46</v>
      </c>
      <c r="K29" s="127">
        <v>13656706121</v>
      </c>
      <c r="L29" s="127" t="s">
        <v>47</v>
      </c>
      <c r="M29" s="127"/>
      <c r="N29" s="127" t="s">
        <v>48</v>
      </c>
      <c r="O29" s="127"/>
      <c r="P29" s="127" t="s">
        <v>49</v>
      </c>
      <c r="Q29" s="127">
        <v>18357088762</v>
      </c>
      <c r="R29" s="127" t="s">
        <v>173</v>
      </c>
      <c r="S29" s="127" t="s">
        <v>174</v>
      </c>
      <c r="T29" s="127"/>
      <c r="U29" s="127" t="s">
        <v>175</v>
      </c>
      <c r="V29" s="127">
        <v>18805712503</v>
      </c>
      <c r="W29" s="127" t="s">
        <v>176</v>
      </c>
      <c r="X29" s="127" t="s">
        <v>177</v>
      </c>
      <c r="Y29" s="127" t="s">
        <v>178</v>
      </c>
      <c r="Z29" s="127" t="s">
        <v>179</v>
      </c>
      <c r="AA29" s="128">
        <v>1543.1928</v>
      </c>
      <c r="AB29" s="128">
        <v>1622.46</v>
      </c>
      <c r="AC29" s="128">
        <v>1576.86</v>
      </c>
      <c r="AD29" s="128"/>
      <c r="AE29" s="127" t="s">
        <v>180</v>
      </c>
      <c r="AF29" s="128"/>
      <c r="AG29" s="128"/>
      <c r="AH29" s="128"/>
      <c r="AI29" s="128"/>
      <c r="AJ29" s="128"/>
      <c r="AK29" s="128"/>
      <c r="AL29" s="128"/>
      <c r="AM29" s="128"/>
    </row>
    <row r="30" customHeight="1" spans="1:39">
      <c r="A30" s="127" t="s">
        <v>39</v>
      </c>
      <c r="B30" s="127" t="s">
        <v>40</v>
      </c>
      <c r="C30" s="127" t="s">
        <v>41</v>
      </c>
      <c r="D30" s="127" t="s">
        <v>172</v>
      </c>
      <c r="E30" s="127"/>
      <c r="F30" s="127" t="s">
        <v>43</v>
      </c>
      <c r="G30" s="127" t="s">
        <v>44</v>
      </c>
      <c r="H30" s="127" t="s">
        <v>45</v>
      </c>
      <c r="I30" s="127">
        <v>7001221</v>
      </c>
      <c r="J30" s="127" t="s">
        <v>46</v>
      </c>
      <c r="K30" s="127">
        <v>13656706121</v>
      </c>
      <c r="L30" s="127" t="s">
        <v>47</v>
      </c>
      <c r="M30" s="127"/>
      <c r="N30" s="127" t="s">
        <v>48</v>
      </c>
      <c r="O30" s="127"/>
      <c r="P30" s="127" t="s">
        <v>49</v>
      </c>
      <c r="Q30" s="127">
        <v>18357088762</v>
      </c>
      <c r="R30" s="127" t="s">
        <v>173</v>
      </c>
      <c r="S30" s="127" t="s">
        <v>174</v>
      </c>
      <c r="T30" s="127"/>
      <c r="U30" s="127" t="s">
        <v>175</v>
      </c>
      <c r="V30" s="127">
        <v>18805712503</v>
      </c>
      <c r="W30" s="127" t="s">
        <v>181</v>
      </c>
      <c r="X30" s="127" t="s">
        <v>182</v>
      </c>
      <c r="Y30" s="127" t="s">
        <v>183</v>
      </c>
      <c r="Z30" s="127" t="s">
        <v>184</v>
      </c>
      <c r="AA30" s="128">
        <v>230</v>
      </c>
      <c r="AB30" s="128">
        <v>236.78</v>
      </c>
      <c r="AC30" s="128">
        <v>218.11</v>
      </c>
      <c r="AD30" s="128"/>
      <c r="AE30" s="127" t="s">
        <v>185</v>
      </c>
      <c r="AF30" s="128"/>
      <c r="AG30" s="128"/>
      <c r="AH30" s="128"/>
      <c r="AI30" s="128"/>
      <c r="AJ30" s="128"/>
      <c r="AK30" s="128"/>
      <c r="AL30" s="128"/>
      <c r="AM30" s="128"/>
    </row>
    <row r="31" customHeight="1" spans="1:39">
      <c r="A31" s="127" t="s">
        <v>39</v>
      </c>
      <c r="B31" s="127" t="s">
        <v>40</v>
      </c>
      <c r="C31" s="127" t="s">
        <v>41</v>
      </c>
      <c r="D31" s="127" t="s">
        <v>42</v>
      </c>
      <c r="E31" s="127"/>
      <c r="F31" s="127" t="s">
        <v>43</v>
      </c>
      <c r="G31" s="127" t="s">
        <v>44</v>
      </c>
      <c r="H31" s="127" t="s">
        <v>45</v>
      </c>
      <c r="I31" s="127">
        <v>7001221</v>
      </c>
      <c r="J31" s="127" t="s">
        <v>46</v>
      </c>
      <c r="K31" s="127">
        <v>13656706121</v>
      </c>
      <c r="L31" s="127" t="s">
        <v>47</v>
      </c>
      <c r="M31" s="127"/>
      <c r="N31" s="127" t="s">
        <v>48</v>
      </c>
      <c r="O31" s="127"/>
      <c r="P31" s="127" t="s">
        <v>49</v>
      </c>
      <c r="Q31" s="127">
        <v>18357088762</v>
      </c>
      <c r="R31" s="127" t="s">
        <v>186</v>
      </c>
      <c r="S31" s="127" t="s">
        <v>187</v>
      </c>
      <c r="T31" s="127"/>
      <c r="U31" s="127" t="s">
        <v>188</v>
      </c>
      <c r="V31" s="127">
        <v>13735082156</v>
      </c>
      <c r="W31" s="127" t="s">
        <v>189</v>
      </c>
      <c r="X31" s="127" t="s">
        <v>187</v>
      </c>
      <c r="Y31" s="127" t="s">
        <v>190</v>
      </c>
      <c r="Z31" s="127" t="s">
        <v>191</v>
      </c>
      <c r="AA31" s="128">
        <v>2627.5283</v>
      </c>
      <c r="AB31" s="128">
        <v>86.15</v>
      </c>
      <c r="AC31" s="128">
        <v>86.01</v>
      </c>
      <c r="AD31" s="128"/>
      <c r="AE31" s="127" t="s">
        <v>57</v>
      </c>
      <c r="AF31" s="128"/>
      <c r="AG31" s="128"/>
      <c r="AH31" s="128"/>
      <c r="AI31" s="128"/>
      <c r="AJ31" s="128"/>
      <c r="AK31" s="128"/>
      <c r="AL31" s="128"/>
      <c r="AM31" s="128"/>
    </row>
    <row r="32" customHeight="1" spans="1:39">
      <c r="A32" s="127" t="s">
        <v>39</v>
      </c>
      <c r="B32" s="127" t="s">
        <v>40</v>
      </c>
      <c r="C32" s="127" t="s">
        <v>41</v>
      </c>
      <c r="D32" s="127" t="s">
        <v>42</v>
      </c>
      <c r="E32" s="127"/>
      <c r="F32" s="127" t="s">
        <v>43</v>
      </c>
      <c r="G32" s="127" t="s">
        <v>44</v>
      </c>
      <c r="H32" s="127" t="s">
        <v>45</v>
      </c>
      <c r="I32" s="127">
        <v>7001221</v>
      </c>
      <c r="J32" s="127" t="s">
        <v>46</v>
      </c>
      <c r="K32" s="127">
        <v>13656706121</v>
      </c>
      <c r="L32" s="127" t="s">
        <v>47</v>
      </c>
      <c r="M32" s="127"/>
      <c r="N32" s="127" t="s">
        <v>48</v>
      </c>
      <c r="O32" s="127"/>
      <c r="P32" s="127" t="s">
        <v>49</v>
      </c>
      <c r="Q32" s="127">
        <v>18357088762</v>
      </c>
      <c r="R32" s="127" t="s">
        <v>186</v>
      </c>
      <c r="S32" s="127" t="s">
        <v>187</v>
      </c>
      <c r="T32" s="127"/>
      <c r="U32" s="127" t="s">
        <v>188</v>
      </c>
      <c r="V32" s="127">
        <v>13735082156</v>
      </c>
      <c r="W32" s="127" t="s">
        <v>192</v>
      </c>
      <c r="X32" s="127" t="s">
        <v>193</v>
      </c>
      <c r="Y32" s="127" t="s">
        <v>194</v>
      </c>
      <c r="Z32" s="127" t="s">
        <v>195</v>
      </c>
      <c r="AA32" s="128">
        <v>2627.5283</v>
      </c>
      <c r="AB32" s="128">
        <v>81.06</v>
      </c>
      <c r="AC32" s="128">
        <v>80.98</v>
      </c>
      <c r="AD32" s="128"/>
      <c r="AE32" s="127" t="s">
        <v>57</v>
      </c>
      <c r="AF32" s="128"/>
      <c r="AG32" s="128"/>
      <c r="AH32" s="128"/>
      <c r="AI32" s="128"/>
      <c r="AJ32" s="128"/>
      <c r="AK32" s="128"/>
      <c r="AL32" s="128"/>
      <c r="AM32" s="128"/>
    </row>
    <row r="33" customHeight="1" spans="1:39">
      <c r="A33" s="127" t="s">
        <v>39</v>
      </c>
      <c r="B33" s="127" t="s">
        <v>40</v>
      </c>
      <c r="C33" s="127" t="s">
        <v>41</v>
      </c>
      <c r="D33" s="127" t="s">
        <v>42</v>
      </c>
      <c r="E33" s="127"/>
      <c r="F33" s="127" t="s">
        <v>43</v>
      </c>
      <c r="G33" s="127" t="s">
        <v>44</v>
      </c>
      <c r="H33" s="127" t="s">
        <v>45</v>
      </c>
      <c r="I33" s="127">
        <v>7001221</v>
      </c>
      <c r="J33" s="127" t="s">
        <v>46</v>
      </c>
      <c r="K33" s="127">
        <v>13656706121</v>
      </c>
      <c r="L33" s="127" t="s">
        <v>47</v>
      </c>
      <c r="M33" s="127"/>
      <c r="N33" s="127" t="s">
        <v>48</v>
      </c>
      <c r="O33" s="127"/>
      <c r="P33" s="127" t="s">
        <v>49</v>
      </c>
      <c r="Q33" s="127">
        <v>18357088762</v>
      </c>
      <c r="R33" s="127" t="s">
        <v>186</v>
      </c>
      <c r="S33" s="127" t="s">
        <v>187</v>
      </c>
      <c r="T33" s="127"/>
      <c r="U33" s="127" t="s">
        <v>188</v>
      </c>
      <c r="V33" s="127">
        <v>13735082156</v>
      </c>
      <c r="W33" s="127" t="s">
        <v>196</v>
      </c>
      <c r="X33" s="127" t="s">
        <v>197</v>
      </c>
      <c r="Y33" s="127" t="s">
        <v>198</v>
      </c>
      <c r="Z33" s="127" t="s">
        <v>199</v>
      </c>
      <c r="AA33" s="128">
        <v>2627.5283</v>
      </c>
      <c r="AB33" s="128">
        <v>51.9</v>
      </c>
      <c r="AC33" s="128">
        <v>0</v>
      </c>
      <c r="AD33" s="128"/>
      <c r="AE33" s="127" t="s">
        <v>57</v>
      </c>
      <c r="AF33" s="128"/>
      <c r="AG33" s="128"/>
      <c r="AH33" s="128"/>
      <c r="AI33" s="128"/>
      <c r="AJ33" s="128"/>
      <c r="AK33" s="128"/>
      <c r="AL33" s="128"/>
      <c r="AM33" s="128"/>
    </row>
    <row r="34" customHeight="1" spans="1:39">
      <c r="A34" s="127" t="s">
        <v>39</v>
      </c>
      <c r="B34" s="127" t="s">
        <v>40</v>
      </c>
      <c r="C34" s="127" t="s">
        <v>41</v>
      </c>
      <c r="D34" s="127" t="s">
        <v>42</v>
      </c>
      <c r="E34" s="127"/>
      <c r="F34" s="127" t="s">
        <v>43</v>
      </c>
      <c r="G34" s="127" t="s">
        <v>44</v>
      </c>
      <c r="H34" s="127" t="s">
        <v>45</v>
      </c>
      <c r="I34" s="127">
        <v>7001221</v>
      </c>
      <c r="J34" s="127" t="s">
        <v>46</v>
      </c>
      <c r="K34" s="127">
        <v>13656706121</v>
      </c>
      <c r="L34" s="127" t="s">
        <v>47</v>
      </c>
      <c r="M34" s="127"/>
      <c r="N34" s="127" t="s">
        <v>48</v>
      </c>
      <c r="O34" s="127"/>
      <c r="P34" s="127" t="s">
        <v>49</v>
      </c>
      <c r="Q34" s="127">
        <v>18357088762</v>
      </c>
      <c r="R34" s="127" t="s">
        <v>186</v>
      </c>
      <c r="S34" s="127" t="s">
        <v>187</v>
      </c>
      <c r="T34" s="127"/>
      <c r="U34" s="127" t="s">
        <v>188</v>
      </c>
      <c r="V34" s="127">
        <v>13735082156</v>
      </c>
      <c r="W34" s="127" t="s">
        <v>200</v>
      </c>
      <c r="X34" s="127" t="s">
        <v>201</v>
      </c>
      <c r="Y34" s="127" t="s">
        <v>202</v>
      </c>
      <c r="Z34" s="127" t="s">
        <v>203</v>
      </c>
      <c r="AA34" s="128">
        <v>2627.5283</v>
      </c>
      <c r="AB34" s="128">
        <v>0</v>
      </c>
      <c r="AC34" s="128">
        <v>51.9</v>
      </c>
      <c r="AD34" s="128"/>
      <c r="AE34" s="127" t="s">
        <v>57</v>
      </c>
      <c r="AF34" s="128"/>
      <c r="AG34" s="128"/>
      <c r="AH34" s="128"/>
      <c r="AI34" s="128"/>
      <c r="AJ34" s="128"/>
      <c r="AK34" s="128"/>
      <c r="AL34" s="128"/>
      <c r="AM34" s="128"/>
    </row>
    <row r="35" customHeight="1" spans="1:39">
      <c r="A35" s="127" t="s">
        <v>39</v>
      </c>
      <c r="B35" s="127" t="s">
        <v>40</v>
      </c>
      <c r="C35" s="127" t="s">
        <v>41</v>
      </c>
      <c r="D35" s="127" t="s">
        <v>42</v>
      </c>
      <c r="E35" s="127"/>
      <c r="F35" s="127" t="s">
        <v>43</v>
      </c>
      <c r="G35" s="127" t="s">
        <v>44</v>
      </c>
      <c r="H35" s="127" t="s">
        <v>45</v>
      </c>
      <c r="I35" s="127">
        <v>7001221</v>
      </c>
      <c r="J35" s="127" t="s">
        <v>46</v>
      </c>
      <c r="K35" s="127">
        <v>13656706121</v>
      </c>
      <c r="L35" s="127" t="s">
        <v>47</v>
      </c>
      <c r="M35" s="127"/>
      <c r="N35" s="127" t="s">
        <v>48</v>
      </c>
      <c r="O35" s="127"/>
      <c r="P35" s="127" t="s">
        <v>49</v>
      </c>
      <c r="Q35" s="127">
        <v>18357088762</v>
      </c>
      <c r="R35" s="127" t="s">
        <v>186</v>
      </c>
      <c r="S35" s="127" t="s">
        <v>187</v>
      </c>
      <c r="T35" s="127"/>
      <c r="U35" s="127" t="s">
        <v>188</v>
      </c>
      <c r="V35" s="127">
        <v>13735082156</v>
      </c>
      <c r="W35" s="127" t="s">
        <v>204</v>
      </c>
      <c r="X35" s="127" t="s">
        <v>205</v>
      </c>
      <c r="Y35" s="127" t="s">
        <v>206</v>
      </c>
      <c r="Z35" s="127" t="s">
        <v>207</v>
      </c>
      <c r="AA35" s="128">
        <v>2627.5283</v>
      </c>
      <c r="AB35" s="128">
        <v>87.18</v>
      </c>
      <c r="AC35" s="128">
        <v>87.15</v>
      </c>
      <c r="AD35" s="128"/>
      <c r="AE35" s="127" t="s">
        <v>57</v>
      </c>
      <c r="AF35" s="128"/>
      <c r="AG35" s="128"/>
      <c r="AH35" s="128"/>
      <c r="AI35" s="128"/>
      <c r="AJ35" s="128"/>
      <c r="AK35" s="128"/>
      <c r="AL35" s="128"/>
      <c r="AM35" s="128"/>
    </row>
    <row r="36" customHeight="1" spans="1:39">
      <c r="A36" s="127" t="s">
        <v>39</v>
      </c>
      <c r="B36" s="127" t="s">
        <v>40</v>
      </c>
      <c r="C36" s="127" t="s">
        <v>41</v>
      </c>
      <c r="D36" s="127" t="s">
        <v>42</v>
      </c>
      <c r="E36" s="127"/>
      <c r="F36" s="127" t="s">
        <v>43</v>
      </c>
      <c r="G36" s="127" t="s">
        <v>44</v>
      </c>
      <c r="H36" s="127" t="s">
        <v>45</v>
      </c>
      <c r="I36" s="127">
        <v>7001221</v>
      </c>
      <c r="J36" s="127" t="s">
        <v>46</v>
      </c>
      <c r="K36" s="127">
        <v>13656706121</v>
      </c>
      <c r="L36" s="127" t="s">
        <v>47</v>
      </c>
      <c r="M36" s="127"/>
      <c r="N36" s="127" t="s">
        <v>48</v>
      </c>
      <c r="O36" s="127"/>
      <c r="P36" s="127" t="s">
        <v>49</v>
      </c>
      <c r="Q36" s="127">
        <v>18357088762</v>
      </c>
      <c r="R36" s="127" t="s">
        <v>186</v>
      </c>
      <c r="S36" s="127" t="s">
        <v>187</v>
      </c>
      <c r="T36" s="127"/>
      <c r="U36" s="127" t="s">
        <v>188</v>
      </c>
      <c r="V36" s="127">
        <v>13735082156</v>
      </c>
      <c r="W36" s="127" t="s">
        <v>208</v>
      </c>
      <c r="X36" s="127" t="s">
        <v>209</v>
      </c>
      <c r="Y36" s="127" t="s">
        <v>210</v>
      </c>
      <c r="Z36" s="127" t="s">
        <v>211</v>
      </c>
      <c r="AA36" s="128">
        <v>2627.5283</v>
      </c>
      <c r="AB36" s="128">
        <v>114.53</v>
      </c>
      <c r="AC36" s="128">
        <v>84.5</v>
      </c>
      <c r="AD36" s="128"/>
      <c r="AE36" s="127" t="s">
        <v>57</v>
      </c>
      <c r="AF36" s="128"/>
      <c r="AG36" s="128"/>
      <c r="AH36" s="128"/>
      <c r="AI36" s="128"/>
      <c r="AJ36" s="128"/>
      <c r="AK36" s="128"/>
      <c r="AL36" s="128"/>
      <c r="AM36" s="128"/>
    </row>
    <row r="37" customHeight="1" spans="1:39">
      <c r="A37" s="127" t="s">
        <v>39</v>
      </c>
      <c r="B37" s="127" t="s">
        <v>40</v>
      </c>
      <c r="C37" s="127" t="s">
        <v>41</v>
      </c>
      <c r="D37" s="127" t="s">
        <v>42</v>
      </c>
      <c r="E37" s="127"/>
      <c r="F37" s="127" t="s">
        <v>43</v>
      </c>
      <c r="G37" s="127" t="s">
        <v>44</v>
      </c>
      <c r="H37" s="127" t="s">
        <v>45</v>
      </c>
      <c r="I37" s="127">
        <v>7001221</v>
      </c>
      <c r="J37" s="127" t="s">
        <v>46</v>
      </c>
      <c r="K37" s="127">
        <v>13656706121</v>
      </c>
      <c r="L37" s="127" t="s">
        <v>47</v>
      </c>
      <c r="M37" s="127"/>
      <c r="N37" s="127" t="s">
        <v>48</v>
      </c>
      <c r="O37" s="127"/>
      <c r="P37" s="127" t="s">
        <v>49</v>
      </c>
      <c r="Q37" s="127">
        <v>18357088762</v>
      </c>
      <c r="R37" s="127" t="s">
        <v>186</v>
      </c>
      <c r="S37" s="127" t="s">
        <v>187</v>
      </c>
      <c r="T37" s="127"/>
      <c r="U37" s="127" t="s">
        <v>188</v>
      </c>
      <c r="V37" s="127">
        <v>13735082156</v>
      </c>
      <c r="W37" s="127" t="s">
        <v>212</v>
      </c>
      <c r="X37" s="127" t="s">
        <v>213</v>
      </c>
      <c r="Y37" s="127" t="s">
        <v>214</v>
      </c>
      <c r="Z37" s="127" t="s">
        <v>215</v>
      </c>
      <c r="AA37" s="128">
        <v>2627.5283</v>
      </c>
      <c r="AB37" s="128">
        <v>85.83</v>
      </c>
      <c r="AC37" s="128">
        <v>85.53</v>
      </c>
      <c r="AD37" s="128"/>
      <c r="AE37" s="127" t="s">
        <v>57</v>
      </c>
      <c r="AF37" s="128"/>
      <c r="AG37" s="128"/>
      <c r="AH37" s="128"/>
      <c r="AI37" s="128"/>
      <c r="AJ37" s="128"/>
      <c r="AK37" s="128"/>
      <c r="AL37" s="128"/>
      <c r="AM37" s="128"/>
    </row>
    <row r="38" customHeight="1" spans="1:39">
      <c r="A38" s="127" t="s">
        <v>39</v>
      </c>
      <c r="B38" s="127" t="s">
        <v>40</v>
      </c>
      <c r="C38" s="127" t="s">
        <v>41</v>
      </c>
      <c r="D38" s="127" t="s">
        <v>42</v>
      </c>
      <c r="E38" s="127"/>
      <c r="F38" s="127" t="s">
        <v>43</v>
      </c>
      <c r="G38" s="127" t="s">
        <v>44</v>
      </c>
      <c r="H38" s="127" t="s">
        <v>45</v>
      </c>
      <c r="I38" s="127">
        <v>7001221</v>
      </c>
      <c r="J38" s="127" t="s">
        <v>46</v>
      </c>
      <c r="K38" s="127">
        <v>13656706121</v>
      </c>
      <c r="L38" s="127" t="s">
        <v>47</v>
      </c>
      <c r="M38" s="127"/>
      <c r="N38" s="127" t="s">
        <v>48</v>
      </c>
      <c r="O38" s="127"/>
      <c r="P38" s="127" t="s">
        <v>49</v>
      </c>
      <c r="Q38" s="127">
        <v>18357088762</v>
      </c>
      <c r="R38" s="127" t="s">
        <v>186</v>
      </c>
      <c r="S38" s="127" t="s">
        <v>187</v>
      </c>
      <c r="T38" s="127"/>
      <c r="U38" s="127" t="s">
        <v>188</v>
      </c>
      <c r="V38" s="127">
        <v>13735082156</v>
      </c>
      <c r="W38" s="127" t="s">
        <v>212</v>
      </c>
      <c r="X38" s="127" t="s">
        <v>213</v>
      </c>
      <c r="Y38" s="127" t="s">
        <v>216</v>
      </c>
      <c r="Z38" s="127" t="s">
        <v>217</v>
      </c>
      <c r="AA38" s="128">
        <v>3.38</v>
      </c>
      <c r="AB38" s="128">
        <v>3.37</v>
      </c>
      <c r="AC38" s="128">
        <v>3.37</v>
      </c>
      <c r="AD38" s="128"/>
      <c r="AE38" s="127" t="s">
        <v>218</v>
      </c>
      <c r="AF38" s="128"/>
      <c r="AG38" s="128"/>
      <c r="AH38" s="128"/>
      <c r="AI38" s="128"/>
      <c r="AJ38" s="128"/>
      <c r="AK38" s="128"/>
      <c r="AL38" s="128"/>
      <c r="AM38" s="128"/>
    </row>
    <row r="39" customHeight="1" spans="1:39">
      <c r="A39" s="127" t="s">
        <v>39</v>
      </c>
      <c r="B39" s="127" t="s">
        <v>40</v>
      </c>
      <c r="C39" s="127" t="s">
        <v>41</v>
      </c>
      <c r="D39" s="127" t="s">
        <v>219</v>
      </c>
      <c r="E39" s="127"/>
      <c r="F39" s="127" t="s">
        <v>43</v>
      </c>
      <c r="G39" s="127" t="s">
        <v>44</v>
      </c>
      <c r="H39" s="127" t="s">
        <v>45</v>
      </c>
      <c r="I39" s="127">
        <v>7001221</v>
      </c>
      <c r="J39" s="127" t="s">
        <v>46</v>
      </c>
      <c r="K39" s="127">
        <v>13656706121</v>
      </c>
      <c r="L39" s="127" t="s">
        <v>47</v>
      </c>
      <c r="M39" s="127"/>
      <c r="N39" s="127" t="s">
        <v>48</v>
      </c>
      <c r="O39" s="127"/>
      <c r="P39" s="127" t="s">
        <v>49</v>
      </c>
      <c r="Q39" s="127">
        <v>18357088762</v>
      </c>
      <c r="R39" s="127" t="s">
        <v>220</v>
      </c>
      <c r="S39" s="127" t="s">
        <v>221</v>
      </c>
      <c r="T39" s="127"/>
      <c r="U39" s="127" t="s">
        <v>222</v>
      </c>
      <c r="V39" s="127">
        <v>15857026038</v>
      </c>
      <c r="W39" s="127" t="s">
        <v>223</v>
      </c>
      <c r="X39" s="127" t="s">
        <v>224</v>
      </c>
      <c r="Y39" s="127" t="s">
        <v>225</v>
      </c>
      <c r="Z39" s="127" t="s">
        <v>226</v>
      </c>
      <c r="AA39" s="128">
        <v>138.39411</v>
      </c>
      <c r="AB39" s="128">
        <v>0</v>
      </c>
      <c r="AC39" s="128">
        <v>93.47</v>
      </c>
      <c r="AD39" s="128"/>
      <c r="AE39" s="127" t="s">
        <v>227</v>
      </c>
      <c r="AF39" s="128"/>
      <c r="AG39" s="128"/>
      <c r="AH39" s="128"/>
      <c r="AI39" s="128"/>
      <c r="AJ39" s="128"/>
      <c r="AK39" s="128"/>
      <c r="AL39" s="128"/>
      <c r="AM39" s="128"/>
    </row>
    <row r="40" customHeight="1" spans="1:39">
      <c r="A40" s="127" t="s">
        <v>39</v>
      </c>
      <c r="B40" s="127" t="s">
        <v>40</v>
      </c>
      <c r="C40" s="127" t="s">
        <v>41</v>
      </c>
      <c r="D40" s="127" t="s">
        <v>219</v>
      </c>
      <c r="E40" s="127"/>
      <c r="F40" s="127" t="s">
        <v>43</v>
      </c>
      <c r="G40" s="127" t="s">
        <v>44</v>
      </c>
      <c r="H40" s="127" t="s">
        <v>45</v>
      </c>
      <c r="I40" s="127">
        <v>7001221</v>
      </c>
      <c r="J40" s="127" t="s">
        <v>46</v>
      </c>
      <c r="K40" s="127">
        <v>13656706121</v>
      </c>
      <c r="L40" s="127" t="s">
        <v>47</v>
      </c>
      <c r="M40" s="127"/>
      <c r="N40" s="127" t="s">
        <v>48</v>
      </c>
      <c r="O40" s="127"/>
      <c r="P40" s="127" t="s">
        <v>49</v>
      </c>
      <c r="Q40" s="127">
        <v>18357088762</v>
      </c>
      <c r="R40" s="127" t="s">
        <v>220</v>
      </c>
      <c r="S40" s="127" t="s">
        <v>221</v>
      </c>
      <c r="T40" s="127"/>
      <c r="U40" s="127" t="s">
        <v>222</v>
      </c>
      <c r="V40" s="127">
        <v>15857026038</v>
      </c>
      <c r="W40" s="127" t="s">
        <v>228</v>
      </c>
      <c r="X40" s="127" t="s">
        <v>229</v>
      </c>
      <c r="Y40" s="127" t="s">
        <v>230</v>
      </c>
      <c r="Z40" s="127" t="s">
        <v>231</v>
      </c>
      <c r="AA40" s="128">
        <v>89.60589</v>
      </c>
      <c r="AB40" s="128">
        <v>83.9</v>
      </c>
      <c r="AC40" s="128">
        <v>81.57</v>
      </c>
      <c r="AD40" s="128"/>
      <c r="AE40" s="127" t="s">
        <v>232</v>
      </c>
      <c r="AF40" s="128"/>
      <c r="AG40" s="128"/>
      <c r="AH40" s="128"/>
      <c r="AI40" s="128"/>
      <c r="AJ40" s="128"/>
      <c r="AK40" s="128"/>
      <c r="AL40" s="128"/>
      <c r="AM40" s="128"/>
    </row>
    <row r="41" customHeight="1" spans="1:39">
      <c r="A41" s="127" t="s">
        <v>39</v>
      </c>
      <c r="B41" s="127" t="s">
        <v>40</v>
      </c>
      <c r="C41" s="127" t="s">
        <v>41</v>
      </c>
      <c r="D41" s="127" t="s">
        <v>219</v>
      </c>
      <c r="E41" s="127"/>
      <c r="F41" s="127" t="s">
        <v>43</v>
      </c>
      <c r="G41" s="127" t="s">
        <v>44</v>
      </c>
      <c r="H41" s="127" t="s">
        <v>45</v>
      </c>
      <c r="I41" s="127">
        <v>7001221</v>
      </c>
      <c r="J41" s="127" t="s">
        <v>46</v>
      </c>
      <c r="K41" s="127">
        <v>13656706121</v>
      </c>
      <c r="L41" s="127" t="s">
        <v>47</v>
      </c>
      <c r="M41" s="127"/>
      <c r="N41" s="127" t="s">
        <v>48</v>
      </c>
      <c r="O41" s="127"/>
      <c r="P41" s="127" t="s">
        <v>49</v>
      </c>
      <c r="Q41" s="127">
        <v>18357088762</v>
      </c>
      <c r="R41" s="127" t="s">
        <v>220</v>
      </c>
      <c r="S41" s="127" t="s">
        <v>221</v>
      </c>
      <c r="T41" s="127"/>
      <c r="U41" s="127" t="s">
        <v>222</v>
      </c>
      <c r="V41" s="127">
        <v>15857026038</v>
      </c>
      <c r="W41" s="127" t="s">
        <v>228</v>
      </c>
      <c r="X41" s="127" t="s">
        <v>229</v>
      </c>
      <c r="Y41" s="127" t="s">
        <v>233</v>
      </c>
      <c r="Z41" s="127" t="s">
        <v>234</v>
      </c>
      <c r="AA41" s="128">
        <v>1.28</v>
      </c>
      <c r="AB41" s="128">
        <v>0.55</v>
      </c>
      <c r="AC41" s="128">
        <v>0.55</v>
      </c>
      <c r="AD41" s="128"/>
      <c r="AE41" s="127" t="s">
        <v>235</v>
      </c>
      <c r="AF41" s="128"/>
      <c r="AG41" s="128"/>
      <c r="AH41" s="128"/>
      <c r="AI41" s="128"/>
      <c r="AJ41" s="128"/>
      <c r="AK41" s="128"/>
      <c r="AL41" s="128"/>
      <c r="AM41" s="128"/>
    </row>
    <row r="42" customHeight="1" spans="1:39">
      <c r="A42" s="127" t="s">
        <v>39</v>
      </c>
      <c r="B42" s="127" t="s">
        <v>40</v>
      </c>
      <c r="C42" s="127" t="s">
        <v>41</v>
      </c>
      <c r="D42" s="127" t="s">
        <v>219</v>
      </c>
      <c r="E42" s="127"/>
      <c r="F42" s="127" t="s">
        <v>43</v>
      </c>
      <c r="G42" s="127" t="s">
        <v>44</v>
      </c>
      <c r="H42" s="127" t="s">
        <v>45</v>
      </c>
      <c r="I42" s="127">
        <v>7001221</v>
      </c>
      <c r="J42" s="127" t="s">
        <v>46</v>
      </c>
      <c r="K42" s="127">
        <v>13656706121</v>
      </c>
      <c r="L42" s="127" t="s">
        <v>47</v>
      </c>
      <c r="M42" s="127"/>
      <c r="N42" s="127" t="s">
        <v>48</v>
      </c>
      <c r="O42" s="127"/>
      <c r="P42" s="127" t="s">
        <v>49</v>
      </c>
      <c r="Q42" s="127">
        <v>18357088762</v>
      </c>
      <c r="R42" s="127" t="s">
        <v>220</v>
      </c>
      <c r="S42" s="127" t="s">
        <v>221</v>
      </c>
      <c r="T42" s="127"/>
      <c r="U42" s="127" t="s">
        <v>222</v>
      </c>
      <c r="V42" s="127">
        <v>15857026038</v>
      </c>
      <c r="W42" s="127" t="s">
        <v>236</v>
      </c>
      <c r="X42" s="127" t="s">
        <v>237</v>
      </c>
      <c r="Y42" s="127" t="s">
        <v>238</v>
      </c>
      <c r="Z42" s="127" t="s">
        <v>239</v>
      </c>
      <c r="AA42" s="128">
        <v>89.60589</v>
      </c>
      <c r="AB42" s="128">
        <v>3.48</v>
      </c>
      <c r="AC42" s="128">
        <v>3.47</v>
      </c>
      <c r="AD42" s="128"/>
      <c r="AE42" s="127" t="s">
        <v>232</v>
      </c>
      <c r="AF42" s="128"/>
      <c r="AG42" s="128"/>
      <c r="AH42" s="128"/>
      <c r="AI42" s="128"/>
      <c r="AJ42" s="128"/>
      <c r="AK42" s="128"/>
      <c r="AL42" s="128"/>
      <c r="AM42" s="128"/>
    </row>
    <row r="43" customHeight="1" spans="1:39">
      <c r="A43" s="127" t="s">
        <v>39</v>
      </c>
      <c r="B43" s="127" t="s">
        <v>40</v>
      </c>
      <c r="C43" s="127" t="s">
        <v>41</v>
      </c>
      <c r="D43" s="127" t="s">
        <v>219</v>
      </c>
      <c r="E43" s="127"/>
      <c r="F43" s="127" t="s">
        <v>43</v>
      </c>
      <c r="G43" s="127" t="s">
        <v>44</v>
      </c>
      <c r="H43" s="127" t="s">
        <v>45</v>
      </c>
      <c r="I43" s="127">
        <v>7001221</v>
      </c>
      <c r="J43" s="127" t="s">
        <v>46</v>
      </c>
      <c r="K43" s="127">
        <v>13656706121</v>
      </c>
      <c r="L43" s="127" t="s">
        <v>47</v>
      </c>
      <c r="M43" s="127"/>
      <c r="N43" s="127" t="s">
        <v>48</v>
      </c>
      <c r="O43" s="127"/>
      <c r="P43" s="127" t="s">
        <v>49</v>
      </c>
      <c r="Q43" s="127">
        <v>18357088762</v>
      </c>
      <c r="R43" s="127" t="s">
        <v>220</v>
      </c>
      <c r="S43" s="127" t="s">
        <v>221</v>
      </c>
      <c r="T43" s="127"/>
      <c r="U43" s="127" t="s">
        <v>222</v>
      </c>
      <c r="V43" s="127">
        <v>15857026038</v>
      </c>
      <c r="W43" s="127" t="s">
        <v>236</v>
      </c>
      <c r="X43" s="127" t="s">
        <v>237</v>
      </c>
      <c r="Y43" s="127" t="s">
        <v>240</v>
      </c>
      <c r="Z43" s="127" t="s">
        <v>241</v>
      </c>
      <c r="AA43" s="128">
        <v>101.7</v>
      </c>
      <c r="AB43" s="128">
        <v>3.99</v>
      </c>
      <c r="AC43" s="128">
        <v>3.98</v>
      </c>
      <c r="AD43" s="128"/>
      <c r="AE43" s="127" t="s">
        <v>242</v>
      </c>
      <c r="AF43" s="128"/>
      <c r="AG43" s="128"/>
      <c r="AH43" s="128"/>
      <c r="AI43" s="128"/>
      <c r="AJ43" s="128"/>
      <c r="AK43" s="128"/>
      <c r="AL43" s="128"/>
      <c r="AM43" s="128"/>
    </row>
    <row r="44" customHeight="1" spans="1:39">
      <c r="A44" s="127" t="s">
        <v>39</v>
      </c>
      <c r="B44" s="127" t="s">
        <v>40</v>
      </c>
      <c r="C44" s="127" t="s">
        <v>41</v>
      </c>
      <c r="D44" s="127" t="s">
        <v>219</v>
      </c>
      <c r="E44" s="127"/>
      <c r="F44" s="127" t="s">
        <v>43</v>
      </c>
      <c r="G44" s="127" t="s">
        <v>44</v>
      </c>
      <c r="H44" s="127" t="s">
        <v>45</v>
      </c>
      <c r="I44" s="127">
        <v>7001221</v>
      </c>
      <c r="J44" s="127" t="s">
        <v>46</v>
      </c>
      <c r="K44" s="127">
        <v>13656706121</v>
      </c>
      <c r="L44" s="127" t="s">
        <v>47</v>
      </c>
      <c r="M44" s="127"/>
      <c r="N44" s="127" t="s">
        <v>48</v>
      </c>
      <c r="O44" s="127"/>
      <c r="P44" s="127" t="s">
        <v>49</v>
      </c>
      <c r="Q44" s="127">
        <v>18357088762</v>
      </c>
      <c r="R44" s="127" t="s">
        <v>220</v>
      </c>
      <c r="S44" s="127" t="s">
        <v>221</v>
      </c>
      <c r="T44" s="127"/>
      <c r="U44" s="127" t="s">
        <v>222</v>
      </c>
      <c r="V44" s="127">
        <v>15857026038</v>
      </c>
      <c r="W44" s="127" t="s">
        <v>243</v>
      </c>
      <c r="X44" s="127" t="s">
        <v>244</v>
      </c>
      <c r="Y44" s="127" t="s">
        <v>245</v>
      </c>
      <c r="Z44" s="127" t="s">
        <v>246</v>
      </c>
      <c r="AA44" s="128">
        <v>89.60589</v>
      </c>
      <c r="AB44" s="128">
        <v>24.14</v>
      </c>
      <c r="AC44" s="128">
        <v>23.33</v>
      </c>
      <c r="AD44" s="128"/>
      <c r="AE44" s="127" t="s">
        <v>232</v>
      </c>
      <c r="AF44" s="128"/>
      <c r="AG44" s="128"/>
      <c r="AH44" s="128"/>
      <c r="AI44" s="128"/>
      <c r="AJ44" s="128"/>
      <c r="AK44" s="128"/>
      <c r="AL44" s="128"/>
      <c r="AM44" s="128"/>
    </row>
    <row r="45" customHeight="1" spans="1:39">
      <c r="A45" s="127" t="s">
        <v>39</v>
      </c>
      <c r="B45" s="127" t="s">
        <v>40</v>
      </c>
      <c r="C45" s="127" t="s">
        <v>41</v>
      </c>
      <c r="D45" s="127" t="s">
        <v>219</v>
      </c>
      <c r="E45" s="127"/>
      <c r="F45" s="127" t="s">
        <v>43</v>
      </c>
      <c r="G45" s="127" t="s">
        <v>44</v>
      </c>
      <c r="H45" s="127" t="s">
        <v>45</v>
      </c>
      <c r="I45" s="127">
        <v>7001221</v>
      </c>
      <c r="J45" s="127" t="s">
        <v>46</v>
      </c>
      <c r="K45" s="127">
        <v>13656706121</v>
      </c>
      <c r="L45" s="127" t="s">
        <v>47</v>
      </c>
      <c r="M45" s="127"/>
      <c r="N45" s="127" t="s">
        <v>48</v>
      </c>
      <c r="O45" s="127"/>
      <c r="P45" s="127" t="s">
        <v>49</v>
      </c>
      <c r="Q45" s="127">
        <v>18357088762</v>
      </c>
      <c r="R45" s="127" t="s">
        <v>220</v>
      </c>
      <c r="S45" s="127" t="s">
        <v>221</v>
      </c>
      <c r="T45" s="127"/>
      <c r="U45" s="127" t="s">
        <v>222</v>
      </c>
      <c r="V45" s="127">
        <v>15857026038</v>
      </c>
      <c r="W45" s="127" t="s">
        <v>243</v>
      </c>
      <c r="X45" s="127" t="s">
        <v>244</v>
      </c>
      <c r="Y45" s="127" t="s">
        <v>247</v>
      </c>
      <c r="Z45" s="127" t="s">
        <v>248</v>
      </c>
      <c r="AA45" s="128">
        <v>138.39411</v>
      </c>
      <c r="AB45" s="128">
        <v>100.74</v>
      </c>
      <c r="AC45" s="128">
        <v>0</v>
      </c>
      <c r="AD45" s="128"/>
      <c r="AE45" s="127" t="s">
        <v>227</v>
      </c>
      <c r="AF45" s="128"/>
      <c r="AG45" s="128"/>
      <c r="AH45" s="128"/>
      <c r="AI45" s="128"/>
      <c r="AJ45" s="128"/>
      <c r="AK45" s="128"/>
      <c r="AL45" s="128"/>
      <c r="AM45" s="128"/>
    </row>
    <row r="46" customHeight="1" spans="1:39">
      <c r="A46" s="127" t="s">
        <v>39</v>
      </c>
      <c r="B46" s="127" t="s">
        <v>40</v>
      </c>
      <c r="C46" s="127" t="s">
        <v>41</v>
      </c>
      <c r="D46" s="127" t="s">
        <v>219</v>
      </c>
      <c r="E46" s="127"/>
      <c r="F46" s="127" t="s">
        <v>43</v>
      </c>
      <c r="G46" s="127" t="s">
        <v>44</v>
      </c>
      <c r="H46" s="127" t="s">
        <v>45</v>
      </c>
      <c r="I46" s="127">
        <v>7001221</v>
      </c>
      <c r="J46" s="127" t="s">
        <v>46</v>
      </c>
      <c r="K46" s="127">
        <v>13656706121</v>
      </c>
      <c r="L46" s="127" t="s">
        <v>47</v>
      </c>
      <c r="M46" s="127"/>
      <c r="N46" s="127" t="s">
        <v>48</v>
      </c>
      <c r="O46" s="127"/>
      <c r="P46" s="127" t="s">
        <v>49</v>
      </c>
      <c r="Q46" s="127">
        <v>18357088762</v>
      </c>
      <c r="R46" s="127" t="s">
        <v>220</v>
      </c>
      <c r="S46" s="127" t="s">
        <v>221</v>
      </c>
      <c r="T46" s="127"/>
      <c r="U46" s="127" t="s">
        <v>222</v>
      </c>
      <c r="V46" s="127">
        <v>15857026038</v>
      </c>
      <c r="W46" s="127" t="s">
        <v>243</v>
      </c>
      <c r="X46" s="127" t="s">
        <v>244</v>
      </c>
      <c r="Y46" s="127" t="s">
        <v>249</v>
      </c>
      <c r="Z46" s="127" t="s">
        <v>250</v>
      </c>
      <c r="AA46" s="128">
        <v>14.1707</v>
      </c>
      <c r="AB46" s="128">
        <v>8.2</v>
      </c>
      <c r="AC46" s="128">
        <v>8.27</v>
      </c>
      <c r="AD46" s="128"/>
      <c r="AE46" s="127" t="s">
        <v>251</v>
      </c>
      <c r="AF46" s="128"/>
      <c r="AG46" s="128"/>
      <c r="AH46" s="128"/>
      <c r="AI46" s="128"/>
      <c r="AJ46" s="128"/>
      <c r="AK46" s="128"/>
      <c r="AL46" s="128"/>
      <c r="AM46" s="128"/>
    </row>
    <row r="47" customHeight="1" spans="1:39">
      <c r="A47" s="127" t="s">
        <v>39</v>
      </c>
      <c r="B47" s="127" t="s">
        <v>40</v>
      </c>
      <c r="C47" s="127" t="s">
        <v>41</v>
      </c>
      <c r="D47" s="127" t="s">
        <v>219</v>
      </c>
      <c r="E47" s="127"/>
      <c r="F47" s="127" t="s">
        <v>43</v>
      </c>
      <c r="G47" s="127" t="s">
        <v>44</v>
      </c>
      <c r="H47" s="127" t="s">
        <v>45</v>
      </c>
      <c r="I47" s="127">
        <v>7001221</v>
      </c>
      <c r="J47" s="127" t="s">
        <v>46</v>
      </c>
      <c r="K47" s="127">
        <v>13656706121</v>
      </c>
      <c r="L47" s="127" t="s">
        <v>47</v>
      </c>
      <c r="M47" s="127"/>
      <c r="N47" s="127" t="s">
        <v>48</v>
      </c>
      <c r="O47" s="127"/>
      <c r="P47" s="127" t="s">
        <v>49</v>
      </c>
      <c r="Q47" s="127">
        <v>18357088762</v>
      </c>
      <c r="R47" s="127" t="s">
        <v>220</v>
      </c>
      <c r="S47" s="127" t="s">
        <v>221</v>
      </c>
      <c r="T47" s="127"/>
      <c r="U47" s="127" t="s">
        <v>222</v>
      </c>
      <c r="V47" s="127">
        <v>15857026038</v>
      </c>
      <c r="W47" s="127" t="s">
        <v>252</v>
      </c>
      <c r="X47" s="127" t="s">
        <v>253</v>
      </c>
      <c r="Y47" s="127" t="s">
        <v>254</v>
      </c>
      <c r="Z47" s="127" t="s">
        <v>255</v>
      </c>
      <c r="AA47" s="128"/>
      <c r="AB47" s="128">
        <v>127.44</v>
      </c>
      <c r="AC47" s="128">
        <v>126.92</v>
      </c>
      <c r="AD47" s="128"/>
      <c r="AE47" s="127" t="s">
        <v>253</v>
      </c>
      <c r="AF47" s="128"/>
      <c r="AG47" s="128"/>
      <c r="AH47" s="128"/>
      <c r="AI47" s="128"/>
      <c r="AJ47" s="128"/>
      <c r="AK47" s="128"/>
      <c r="AL47" s="128"/>
      <c r="AM47" s="128"/>
    </row>
    <row r="48" customHeight="1" spans="1:39">
      <c r="A48" s="127" t="s">
        <v>39</v>
      </c>
      <c r="B48" s="127" t="s">
        <v>40</v>
      </c>
      <c r="C48" s="127" t="s">
        <v>41</v>
      </c>
      <c r="D48" s="127" t="s">
        <v>219</v>
      </c>
      <c r="E48" s="127"/>
      <c r="F48" s="127" t="s">
        <v>43</v>
      </c>
      <c r="G48" s="127" t="s">
        <v>44</v>
      </c>
      <c r="H48" s="127" t="s">
        <v>45</v>
      </c>
      <c r="I48" s="127">
        <v>7001221</v>
      </c>
      <c r="J48" s="127" t="s">
        <v>46</v>
      </c>
      <c r="K48" s="127">
        <v>13656706121</v>
      </c>
      <c r="L48" s="127" t="s">
        <v>47</v>
      </c>
      <c r="M48" s="127"/>
      <c r="N48" s="127" t="s">
        <v>48</v>
      </c>
      <c r="O48" s="127"/>
      <c r="P48" s="127" t="s">
        <v>49</v>
      </c>
      <c r="Q48" s="127">
        <v>18357088762</v>
      </c>
      <c r="R48" s="127" t="s">
        <v>220</v>
      </c>
      <c r="S48" s="127" t="s">
        <v>221</v>
      </c>
      <c r="T48" s="127"/>
      <c r="U48" s="127" t="s">
        <v>222</v>
      </c>
      <c r="V48" s="127">
        <v>15857026038</v>
      </c>
      <c r="W48" s="127" t="s">
        <v>256</v>
      </c>
      <c r="X48" s="127" t="s">
        <v>257</v>
      </c>
      <c r="Y48" s="127" t="s">
        <v>258</v>
      </c>
      <c r="Z48" s="127" t="s">
        <v>259</v>
      </c>
      <c r="AA48" s="128">
        <v>56</v>
      </c>
      <c r="AB48" s="128">
        <v>45.57</v>
      </c>
      <c r="AC48" s="128">
        <v>44.35</v>
      </c>
      <c r="AD48" s="128"/>
      <c r="AE48" s="127" t="s">
        <v>260</v>
      </c>
      <c r="AF48" s="128"/>
      <c r="AG48" s="128"/>
      <c r="AH48" s="128"/>
      <c r="AI48" s="128"/>
      <c r="AJ48" s="128"/>
      <c r="AK48" s="128"/>
      <c r="AL48" s="128"/>
      <c r="AM48" s="128"/>
    </row>
    <row r="49" customHeight="1" spans="1:39">
      <c r="A49" s="127" t="s">
        <v>39</v>
      </c>
      <c r="B49" s="127" t="s">
        <v>40</v>
      </c>
      <c r="C49" s="127" t="s">
        <v>41</v>
      </c>
      <c r="D49" s="127" t="s">
        <v>219</v>
      </c>
      <c r="E49" s="127"/>
      <c r="F49" s="127" t="s">
        <v>43</v>
      </c>
      <c r="G49" s="127" t="s">
        <v>44</v>
      </c>
      <c r="H49" s="127" t="s">
        <v>45</v>
      </c>
      <c r="I49" s="127">
        <v>7001221</v>
      </c>
      <c r="J49" s="127" t="s">
        <v>46</v>
      </c>
      <c r="K49" s="127">
        <v>13656706121</v>
      </c>
      <c r="L49" s="127" t="s">
        <v>47</v>
      </c>
      <c r="M49" s="127"/>
      <c r="N49" s="127" t="s">
        <v>48</v>
      </c>
      <c r="O49" s="127"/>
      <c r="P49" s="127" t="s">
        <v>49</v>
      </c>
      <c r="Q49" s="127">
        <v>18357088762</v>
      </c>
      <c r="R49" s="127" t="s">
        <v>220</v>
      </c>
      <c r="S49" s="127" t="s">
        <v>221</v>
      </c>
      <c r="T49" s="127"/>
      <c r="U49" s="127" t="s">
        <v>222</v>
      </c>
      <c r="V49" s="127">
        <v>15857026038</v>
      </c>
      <c r="W49" s="127" t="s">
        <v>261</v>
      </c>
      <c r="X49" s="127" t="s">
        <v>262</v>
      </c>
      <c r="Y49" s="127" t="s">
        <v>263</v>
      </c>
      <c r="Z49" s="127" t="s">
        <v>264</v>
      </c>
      <c r="AA49" s="128">
        <v>138.39411</v>
      </c>
      <c r="AB49" s="128">
        <v>18.35</v>
      </c>
      <c r="AC49" s="128">
        <v>18.13</v>
      </c>
      <c r="AD49" s="128"/>
      <c r="AE49" s="127" t="s">
        <v>227</v>
      </c>
      <c r="AF49" s="128"/>
      <c r="AG49" s="128"/>
      <c r="AH49" s="128"/>
      <c r="AI49" s="128"/>
      <c r="AJ49" s="128"/>
      <c r="AK49" s="128"/>
      <c r="AL49" s="128"/>
      <c r="AM49" s="128"/>
    </row>
    <row r="50" customHeight="1" spans="1:39">
      <c r="A50" s="127" t="s">
        <v>39</v>
      </c>
      <c r="B50" s="127" t="s">
        <v>40</v>
      </c>
      <c r="C50" s="127" t="s">
        <v>41</v>
      </c>
      <c r="D50" s="127" t="s">
        <v>219</v>
      </c>
      <c r="E50" s="127"/>
      <c r="F50" s="127" t="s">
        <v>43</v>
      </c>
      <c r="G50" s="127" t="s">
        <v>44</v>
      </c>
      <c r="H50" s="127" t="s">
        <v>45</v>
      </c>
      <c r="I50" s="127">
        <v>7001221</v>
      </c>
      <c r="J50" s="127" t="s">
        <v>46</v>
      </c>
      <c r="K50" s="127">
        <v>13656706121</v>
      </c>
      <c r="L50" s="127" t="s">
        <v>47</v>
      </c>
      <c r="M50" s="127"/>
      <c r="N50" s="127" t="s">
        <v>48</v>
      </c>
      <c r="O50" s="127"/>
      <c r="P50" s="127" t="s">
        <v>49</v>
      </c>
      <c r="Q50" s="127">
        <v>18357088762</v>
      </c>
      <c r="R50" s="127" t="s">
        <v>220</v>
      </c>
      <c r="S50" s="127" t="s">
        <v>221</v>
      </c>
      <c r="T50" s="127"/>
      <c r="U50" s="127" t="s">
        <v>222</v>
      </c>
      <c r="V50" s="127">
        <v>15857026038</v>
      </c>
      <c r="W50" s="127" t="s">
        <v>265</v>
      </c>
      <c r="X50" s="127" t="s">
        <v>266</v>
      </c>
      <c r="Y50" s="127" t="s">
        <v>267</v>
      </c>
      <c r="Z50" s="127" t="s">
        <v>268</v>
      </c>
      <c r="AA50" s="128">
        <v>89.60589</v>
      </c>
      <c r="AB50" s="128">
        <v>2.87</v>
      </c>
      <c r="AC50" s="128">
        <v>2.86</v>
      </c>
      <c r="AD50" s="128"/>
      <c r="AE50" s="127" t="s">
        <v>232</v>
      </c>
      <c r="AF50" s="128"/>
      <c r="AG50" s="128"/>
      <c r="AH50" s="128"/>
      <c r="AI50" s="128"/>
      <c r="AJ50" s="128"/>
      <c r="AK50" s="128"/>
      <c r="AL50" s="128"/>
      <c r="AM50" s="128"/>
    </row>
    <row r="51" customHeight="1" spans="1:39">
      <c r="A51" s="127" t="s">
        <v>39</v>
      </c>
      <c r="B51" s="127" t="s">
        <v>40</v>
      </c>
      <c r="C51" s="127" t="s">
        <v>41</v>
      </c>
      <c r="D51" s="127" t="s">
        <v>219</v>
      </c>
      <c r="E51" s="127"/>
      <c r="F51" s="127" t="s">
        <v>43</v>
      </c>
      <c r="G51" s="127" t="s">
        <v>44</v>
      </c>
      <c r="H51" s="127" t="s">
        <v>45</v>
      </c>
      <c r="I51" s="127">
        <v>7001221</v>
      </c>
      <c r="J51" s="127" t="s">
        <v>46</v>
      </c>
      <c r="K51" s="127">
        <v>13656706121</v>
      </c>
      <c r="L51" s="127" t="s">
        <v>47</v>
      </c>
      <c r="M51" s="127"/>
      <c r="N51" s="127" t="s">
        <v>48</v>
      </c>
      <c r="O51" s="127"/>
      <c r="P51" s="127" t="s">
        <v>49</v>
      </c>
      <c r="Q51" s="127">
        <v>18357088762</v>
      </c>
      <c r="R51" s="127" t="s">
        <v>220</v>
      </c>
      <c r="S51" s="127" t="s">
        <v>221</v>
      </c>
      <c r="T51" s="127"/>
      <c r="U51" s="127" t="s">
        <v>222</v>
      </c>
      <c r="V51" s="127">
        <v>15857026038</v>
      </c>
      <c r="W51" s="127" t="s">
        <v>265</v>
      </c>
      <c r="X51" s="127" t="s">
        <v>266</v>
      </c>
      <c r="Y51" s="127" t="s">
        <v>269</v>
      </c>
      <c r="Z51" s="127" t="s">
        <v>270</v>
      </c>
      <c r="AA51" s="128">
        <v>101.7</v>
      </c>
      <c r="AB51" s="128">
        <v>77.4</v>
      </c>
      <c r="AC51" s="128">
        <v>73.8</v>
      </c>
      <c r="AD51" s="128"/>
      <c r="AE51" s="127" t="s">
        <v>242</v>
      </c>
      <c r="AF51" s="128"/>
      <c r="AG51" s="128"/>
      <c r="AH51" s="128"/>
      <c r="AI51" s="128"/>
      <c r="AJ51" s="128"/>
      <c r="AK51" s="128"/>
      <c r="AL51" s="128"/>
      <c r="AM51" s="128"/>
    </row>
    <row r="52" customHeight="1" spans="1:39">
      <c r="A52" s="127" t="s">
        <v>39</v>
      </c>
      <c r="B52" s="127" t="s">
        <v>40</v>
      </c>
      <c r="C52" s="127" t="s">
        <v>41</v>
      </c>
      <c r="D52" s="127" t="s">
        <v>172</v>
      </c>
      <c r="E52" s="127"/>
      <c r="F52" s="127" t="s">
        <v>43</v>
      </c>
      <c r="G52" s="127" t="s">
        <v>44</v>
      </c>
      <c r="H52" s="127" t="s">
        <v>45</v>
      </c>
      <c r="I52" s="127">
        <v>7001221</v>
      </c>
      <c r="J52" s="127" t="s">
        <v>46</v>
      </c>
      <c r="K52" s="127">
        <v>13656706121</v>
      </c>
      <c r="L52" s="127" t="s">
        <v>47</v>
      </c>
      <c r="M52" s="127"/>
      <c r="N52" s="127" t="s">
        <v>48</v>
      </c>
      <c r="O52" s="127"/>
      <c r="P52" s="127" t="s">
        <v>49</v>
      </c>
      <c r="Q52" s="127">
        <v>18357088762</v>
      </c>
      <c r="R52" s="127" t="s">
        <v>271</v>
      </c>
      <c r="S52" s="127" t="s">
        <v>272</v>
      </c>
      <c r="T52" s="127"/>
      <c r="U52" s="127" t="s">
        <v>273</v>
      </c>
      <c r="V52" s="127">
        <v>13567079078</v>
      </c>
      <c r="W52" s="127" t="s">
        <v>274</v>
      </c>
      <c r="X52" s="127" t="s">
        <v>275</v>
      </c>
      <c r="Y52" s="127" t="s">
        <v>276</v>
      </c>
      <c r="Z52" s="127" t="s">
        <v>277</v>
      </c>
      <c r="AA52" s="128">
        <v>173.745</v>
      </c>
      <c r="AB52" s="128">
        <v>157.58</v>
      </c>
      <c r="AC52" s="128">
        <v>168.03</v>
      </c>
      <c r="AD52" s="128"/>
      <c r="AE52" s="127" t="s">
        <v>278</v>
      </c>
      <c r="AF52" s="128"/>
      <c r="AG52" s="128"/>
      <c r="AH52" s="128"/>
      <c r="AI52" s="128"/>
      <c r="AJ52" s="128"/>
      <c r="AK52" s="128"/>
      <c r="AL52" s="128"/>
      <c r="AM52" s="128"/>
    </row>
    <row r="53" customHeight="1" spans="1:39">
      <c r="A53" s="127" t="s">
        <v>39</v>
      </c>
      <c r="B53" s="127" t="s">
        <v>40</v>
      </c>
      <c r="C53" s="127" t="s">
        <v>41</v>
      </c>
      <c r="D53" s="127" t="s">
        <v>172</v>
      </c>
      <c r="E53" s="127"/>
      <c r="F53" s="127" t="s">
        <v>43</v>
      </c>
      <c r="G53" s="127" t="s">
        <v>44</v>
      </c>
      <c r="H53" s="127" t="s">
        <v>45</v>
      </c>
      <c r="I53" s="127">
        <v>7001221</v>
      </c>
      <c r="J53" s="127" t="s">
        <v>46</v>
      </c>
      <c r="K53" s="127">
        <v>13656706121</v>
      </c>
      <c r="L53" s="127" t="s">
        <v>47</v>
      </c>
      <c r="M53" s="127"/>
      <c r="N53" s="127" t="s">
        <v>48</v>
      </c>
      <c r="O53" s="127"/>
      <c r="P53" s="127" t="s">
        <v>49</v>
      </c>
      <c r="Q53" s="127">
        <v>18357088762</v>
      </c>
      <c r="R53" s="127" t="s">
        <v>271</v>
      </c>
      <c r="S53" s="127" t="s">
        <v>272</v>
      </c>
      <c r="T53" s="127"/>
      <c r="U53" s="127" t="s">
        <v>273</v>
      </c>
      <c r="V53" s="127">
        <v>13567079078</v>
      </c>
      <c r="W53" s="127" t="s">
        <v>279</v>
      </c>
      <c r="X53" s="127" t="s">
        <v>280</v>
      </c>
      <c r="Y53" s="127" t="s">
        <v>281</v>
      </c>
      <c r="Z53" s="127" t="s">
        <v>282</v>
      </c>
      <c r="AA53" s="128">
        <v>90.16</v>
      </c>
      <c r="AB53" s="128">
        <v>90.71</v>
      </c>
      <c r="AC53" s="128">
        <v>90.71</v>
      </c>
      <c r="AD53" s="128"/>
      <c r="AE53" s="127" t="s">
        <v>283</v>
      </c>
      <c r="AF53" s="128"/>
      <c r="AG53" s="128"/>
      <c r="AH53" s="128"/>
      <c r="AI53" s="128"/>
      <c r="AJ53" s="128"/>
      <c r="AK53" s="128"/>
      <c r="AL53" s="128"/>
      <c r="AM53" s="128"/>
    </row>
    <row r="54" customHeight="1" spans="1:39">
      <c r="A54" s="127" t="s">
        <v>39</v>
      </c>
      <c r="B54" s="127" t="s">
        <v>40</v>
      </c>
      <c r="C54" s="127" t="s">
        <v>41</v>
      </c>
      <c r="D54" s="127" t="s">
        <v>172</v>
      </c>
      <c r="E54" s="127"/>
      <c r="F54" s="127" t="s">
        <v>43</v>
      </c>
      <c r="G54" s="127" t="s">
        <v>44</v>
      </c>
      <c r="H54" s="127" t="s">
        <v>45</v>
      </c>
      <c r="I54" s="127">
        <v>7001221</v>
      </c>
      <c r="J54" s="127" t="s">
        <v>46</v>
      </c>
      <c r="K54" s="127">
        <v>13656706121</v>
      </c>
      <c r="L54" s="127" t="s">
        <v>47</v>
      </c>
      <c r="M54" s="127"/>
      <c r="N54" s="127" t="s">
        <v>48</v>
      </c>
      <c r="O54" s="127"/>
      <c r="P54" s="127" t="s">
        <v>49</v>
      </c>
      <c r="Q54" s="127">
        <v>18357088762</v>
      </c>
      <c r="R54" s="127" t="s">
        <v>271</v>
      </c>
      <c r="S54" s="127" t="s">
        <v>272</v>
      </c>
      <c r="T54" s="127"/>
      <c r="U54" s="127" t="s">
        <v>273</v>
      </c>
      <c r="V54" s="127">
        <v>13567079078</v>
      </c>
      <c r="W54" s="127" t="s">
        <v>284</v>
      </c>
      <c r="X54" s="127" t="s">
        <v>285</v>
      </c>
      <c r="Y54" s="127" t="s">
        <v>286</v>
      </c>
      <c r="Z54" s="127" t="s">
        <v>287</v>
      </c>
      <c r="AA54" s="128">
        <v>221.3</v>
      </c>
      <c r="AB54" s="128">
        <v>214.48</v>
      </c>
      <c r="AC54" s="128">
        <v>211.96</v>
      </c>
      <c r="AD54" s="128"/>
      <c r="AE54" s="127" t="s">
        <v>288</v>
      </c>
      <c r="AF54" s="128"/>
      <c r="AG54" s="128"/>
      <c r="AH54" s="128"/>
      <c r="AI54" s="128"/>
      <c r="AJ54" s="128"/>
      <c r="AK54" s="128"/>
      <c r="AL54" s="128"/>
      <c r="AM54" s="128"/>
    </row>
    <row r="55" customHeight="1" spans="1:39">
      <c r="A55" s="127" t="s">
        <v>39</v>
      </c>
      <c r="B55" s="127" t="s">
        <v>40</v>
      </c>
      <c r="C55" s="127" t="s">
        <v>41</v>
      </c>
      <c r="D55" s="127" t="s">
        <v>42</v>
      </c>
      <c r="E55" s="127"/>
      <c r="F55" s="127" t="s">
        <v>43</v>
      </c>
      <c r="G55" s="127" t="s">
        <v>44</v>
      </c>
      <c r="H55" s="127" t="s">
        <v>45</v>
      </c>
      <c r="I55" s="127">
        <v>7001221</v>
      </c>
      <c r="J55" s="127" t="s">
        <v>46</v>
      </c>
      <c r="K55" s="127">
        <v>13656706121</v>
      </c>
      <c r="L55" s="127" t="s">
        <v>47</v>
      </c>
      <c r="M55" s="127"/>
      <c r="N55" s="127" t="s">
        <v>48</v>
      </c>
      <c r="O55" s="127"/>
      <c r="P55" s="127" t="s">
        <v>49</v>
      </c>
      <c r="Q55" s="127">
        <v>18357088762</v>
      </c>
      <c r="R55" s="127" t="s">
        <v>289</v>
      </c>
      <c r="S55" s="127" t="s">
        <v>290</v>
      </c>
      <c r="T55" s="127"/>
      <c r="U55" s="127" t="s">
        <v>291</v>
      </c>
      <c r="V55" s="127">
        <v>18957023139</v>
      </c>
      <c r="W55" s="127" t="s">
        <v>292</v>
      </c>
      <c r="X55" s="127" t="s">
        <v>293</v>
      </c>
      <c r="Y55" s="127" t="s">
        <v>294</v>
      </c>
      <c r="Z55" s="127" t="s">
        <v>295</v>
      </c>
      <c r="AA55" s="128">
        <v>2627.5283</v>
      </c>
      <c r="AB55" s="128">
        <v>65.21</v>
      </c>
      <c r="AC55" s="128">
        <v>65.22</v>
      </c>
      <c r="AD55" s="128"/>
      <c r="AE55" s="127" t="s">
        <v>57</v>
      </c>
      <c r="AF55" s="128"/>
      <c r="AG55" s="128"/>
      <c r="AH55" s="128"/>
      <c r="AI55" s="128"/>
      <c r="AJ55" s="128"/>
      <c r="AK55" s="128"/>
      <c r="AL55" s="128"/>
      <c r="AM55" s="128"/>
    </row>
    <row r="56" customHeight="1" spans="1:39">
      <c r="A56" s="127" t="s">
        <v>39</v>
      </c>
      <c r="B56" s="127" t="s">
        <v>40</v>
      </c>
      <c r="C56" s="127" t="s">
        <v>41</v>
      </c>
      <c r="D56" s="127" t="s">
        <v>42</v>
      </c>
      <c r="E56" s="127"/>
      <c r="F56" s="127" t="s">
        <v>43</v>
      </c>
      <c r="G56" s="127" t="s">
        <v>44</v>
      </c>
      <c r="H56" s="127" t="s">
        <v>45</v>
      </c>
      <c r="I56" s="127">
        <v>7001221</v>
      </c>
      <c r="J56" s="127" t="s">
        <v>46</v>
      </c>
      <c r="K56" s="127">
        <v>13656706121</v>
      </c>
      <c r="L56" s="127" t="s">
        <v>47</v>
      </c>
      <c r="M56" s="127"/>
      <c r="N56" s="127" t="s">
        <v>48</v>
      </c>
      <c r="O56" s="127"/>
      <c r="P56" s="127" t="s">
        <v>49</v>
      </c>
      <c r="Q56" s="127">
        <v>18357088762</v>
      </c>
      <c r="R56" s="127" t="s">
        <v>289</v>
      </c>
      <c r="S56" s="127" t="s">
        <v>290</v>
      </c>
      <c r="T56" s="127"/>
      <c r="U56" s="127" t="s">
        <v>291</v>
      </c>
      <c r="V56" s="127">
        <v>18957023139</v>
      </c>
      <c r="W56" s="127" t="s">
        <v>296</v>
      </c>
      <c r="X56" s="127" t="s">
        <v>297</v>
      </c>
      <c r="Y56" s="127" t="s">
        <v>298</v>
      </c>
      <c r="Z56" s="127" t="s">
        <v>299</v>
      </c>
      <c r="AA56" s="128">
        <v>2627.5283</v>
      </c>
      <c r="AB56" s="128">
        <v>69.61</v>
      </c>
      <c r="AC56" s="128">
        <v>69.62</v>
      </c>
      <c r="AD56" s="128"/>
      <c r="AE56" s="127" t="s">
        <v>57</v>
      </c>
      <c r="AF56" s="128"/>
      <c r="AG56" s="128"/>
      <c r="AH56" s="128"/>
      <c r="AI56" s="128"/>
      <c r="AJ56" s="128"/>
      <c r="AK56" s="128"/>
      <c r="AL56" s="128"/>
      <c r="AM56" s="128"/>
    </row>
    <row r="57" customHeight="1" spans="1:39">
      <c r="A57" s="127" t="s">
        <v>39</v>
      </c>
      <c r="B57" s="127" t="s">
        <v>40</v>
      </c>
      <c r="C57" s="127" t="s">
        <v>41</v>
      </c>
      <c r="D57" s="127" t="s">
        <v>42</v>
      </c>
      <c r="E57" s="127"/>
      <c r="F57" s="127" t="s">
        <v>43</v>
      </c>
      <c r="G57" s="127" t="s">
        <v>44</v>
      </c>
      <c r="H57" s="127" t="s">
        <v>45</v>
      </c>
      <c r="I57" s="127">
        <v>7001221</v>
      </c>
      <c r="J57" s="127" t="s">
        <v>46</v>
      </c>
      <c r="K57" s="127">
        <v>13656706121</v>
      </c>
      <c r="L57" s="127" t="s">
        <v>47</v>
      </c>
      <c r="M57" s="127"/>
      <c r="N57" s="127" t="s">
        <v>48</v>
      </c>
      <c r="O57" s="127"/>
      <c r="P57" s="127" t="s">
        <v>49</v>
      </c>
      <c r="Q57" s="127">
        <v>18357088762</v>
      </c>
      <c r="R57" s="127" t="s">
        <v>289</v>
      </c>
      <c r="S57" s="127" t="s">
        <v>290</v>
      </c>
      <c r="T57" s="127"/>
      <c r="U57" s="127" t="s">
        <v>291</v>
      </c>
      <c r="V57" s="127">
        <v>18957023139</v>
      </c>
      <c r="W57" s="127" t="s">
        <v>300</v>
      </c>
      <c r="X57" s="127" t="s">
        <v>301</v>
      </c>
      <c r="Y57" s="127" t="s">
        <v>302</v>
      </c>
      <c r="Z57" s="127" t="s">
        <v>303</v>
      </c>
      <c r="AA57" s="128">
        <v>2627.5283</v>
      </c>
      <c r="AB57" s="128">
        <v>149.05</v>
      </c>
      <c r="AC57" s="128">
        <v>149.19</v>
      </c>
      <c r="AD57" s="128"/>
      <c r="AE57" s="127" t="s">
        <v>57</v>
      </c>
      <c r="AF57" s="128"/>
      <c r="AG57" s="128"/>
      <c r="AH57" s="128"/>
      <c r="AI57" s="128"/>
      <c r="AJ57" s="128"/>
      <c r="AK57" s="128"/>
      <c r="AL57" s="128"/>
      <c r="AM57" s="128"/>
    </row>
    <row r="58" customHeight="1" spans="1:39">
      <c r="A58" s="127" t="s">
        <v>39</v>
      </c>
      <c r="B58" s="127" t="s">
        <v>40</v>
      </c>
      <c r="C58" s="127" t="s">
        <v>41</v>
      </c>
      <c r="D58" s="127" t="s">
        <v>42</v>
      </c>
      <c r="E58" s="127"/>
      <c r="F58" s="127" t="s">
        <v>43</v>
      </c>
      <c r="G58" s="127" t="s">
        <v>44</v>
      </c>
      <c r="H58" s="127" t="s">
        <v>45</v>
      </c>
      <c r="I58" s="127">
        <v>7001221</v>
      </c>
      <c r="J58" s="127" t="s">
        <v>46</v>
      </c>
      <c r="K58" s="127">
        <v>13656706121</v>
      </c>
      <c r="L58" s="127" t="s">
        <v>47</v>
      </c>
      <c r="M58" s="127"/>
      <c r="N58" s="127" t="s">
        <v>48</v>
      </c>
      <c r="O58" s="127"/>
      <c r="P58" s="127" t="s">
        <v>49</v>
      </c>
      <c r="Q58" s="127">
        <v>18357088762</v>
      </c>
      <c r="R58" s="127" t="s">
        <v>289</v>
      </c>
      <c r="S58" s="127" t="s">
        <v>290</v>
      </c>
      <c r="T58" s="127"/>
      <c r="U58" s="127" t="s">
        <v>291</v>
      </c>
      <c r="V58" s="127">
        <v>18957023139</v>
      </c>
      <c r="W58" s="127" t="s">
        <v>304</v>
      </c>
      <c r="X58" s="127" t="s">
        <v>305</v>
      </c>
      <c r="Y58" s="127" t="s">
        <v>306</v>
      </c>
      <c r="Z58" s="127" t="s">
        <v>307</v>
      </c>
      <c r="AA58" s="128">
        <v>2627.5283</v>
      </c>
      <c r="AB58" s="128">
        <v>243.06</v>
      </c>
      <c r="AC58" s="128">
        <v>243.26</v>
      </c>
      <c r="AD58" s="128"/>
      <c r="AE58" s="127" t="s">
        <v>57</v>
      </c>
      <c r="AF58" s="128"/>
      <c r="AG58" s="128"/>
      <c r="AH58" s="128"/>
      <c r="AI58" s="128"/>
      <c r="AJ58" s="128"/>
      <c r="AK58" s="128"/>
      <c r="AL58" s="128"/>
      <c r="AM58" s="128"/>
    </row>
    <row r="59" customHeight="1" spans="1:39">
      <c r="A59" s="127" t="s">
        <v>39</v>
      </c>
      <c r="B59" s="127" t="s">
        <v>40</v>
      </c>
      <c r="C59" s="127" t="s">
        <v>41</v>
      </c>
      <c r="D59" s="127" t="s">
        <v>42</v>
      </c>
      <c r="E59" s="127"/>
      <c r="F59" s="127" t="s">
        <v>43</v>
      </c>
      <c r="G59" s="127" t="s">
        <v>44</v>
      </c>
      <c r="H59" s="127" t="s">
        <v>45</v>
      </c>
      <c r="I59" s="127">
        <v>7001221</v>
      </c>
      <c r="J59" s="127" t="s">
        <v>46</v>
      </c>
      <c r="K59" s="127">
        <v>13656706121</v>
      </c>
      <c r="L59" s="127" t="s">
        <v>47</v>
      </c>
      <c r="M59" s="127"/>
      <c r="N59" s="127" t="s">
        <v>48</v>
      </c>
      <c r="O59" s="127"/>
      <c r="P59" s="127" t="s">
        <v>49</v>
      </c>
      <c r="Q59" s="127">
        <v>18357088762</v>
      </c>
      <c r="R59" s="127" t="s">
        <v>289</v>
      </c>
      <c r="S59" s="127" t="s">
        <v>290</v>
      </c>
      <c r="T59" s="127"/>
      <c r="U59" s="127" t="s">
        <v>291</v>
      </c>
      <c r="V59" s="127">
        <v>18957023139</v>
      </c>
      <c r="W59" s="127" t="s">
        <v>308</v>
      </c>
      <c r="X59" s="127" t="s">
        <v>309</v>
      </c>
      <c r="Y59" s="127" t="s">
        <v>310</v>
      </c>
      <c r="Z59" s="127" t="s">
        <v>311</v>
      </c>
      <c r="AA59" s="128">
        <v>2627.5283</v>
      </c>
      <c r="AB59" s="128">
        <v>34.98</v>
      </c>
      <c r="AC59" s="128">
        <v>35.01</v>
      </c>
      <c r="AD59" s="128"/>
      <c r="AE59" s="127" t="s">
        <v>57</v>
      </c>
      <c r="AF59" s="128"/>
      <c r="AG59" s="128"/>
      <c r="AH59" s="128"/>
      <c r="AI59" s="128"/>
      <c r="AJ59" s="128"/>
      <c r="AK59" s="128"/>
      <c r="AL59" s="128"/>
      <c r="AM59" s="128"/>
    </row>
    <row r="60" customHeight="1" spans="1:39">
      <c r="A60" s="127" t="s">
        <v>39</v>
      </c>
      <c r="B60" s="127" t="s">
        <v>40</v>
      </c>
      <c r="C60" s="127" t="s">
        <v>41</v>
      </c>
      <c r="D60" s="127" t="s">
        <v>312</v>
      </c>
      <c r="E60" s="127"/>
      <c r="F60" s="127" t="s">
        <v>43</v>
      </c>
      <c r="G60" s="127" t="s">
        <v>44</v>
      </c>
      <c r="H60" s="127" t="s">
        <v>45</v>
      </c>
      <c r="I60" s="127">
        <v>7001221</v>
      </c>
      <c r="J60" s="127" t="s">
        <v>46</v>
      </c>
      <c r="K60" s="127">
        <v>13656706121</v>
      </c>
      <c r="L60" s="127" t="s">
        <v>313</v>
      </c>
      <c r="M60" s="127"/>
      <c r="N60" s="127" t="s">
        <v>314</v>
      </c>
      <c r="O60" s="127">
        <v>7001127</v>
      </c>
      <c r="P60" s="127" t="s">
        <v>315</v>
      </c>
      <c r="Q60" s="127">
        <v>19805706600</v>
      </c>
      <c r="R60" s="127" t="s">
        <v>316</v>
      </c>
      <c r="S60" s="127" t="s">
        <v>317</v>
      </c>
      <c r="T60" s="127"/>
      <c r="U60" s="127" t="s">
        <v>318</v>
      </c>
      <c r="V60" s="127">
        <v>15306709841</v>
      </c>
      <c r="W60" s="127" t="s">
        <v>319</v>
      </c>
      <c r="X60" s="127" t="s">
        <v>320</v>
      </c>
      <c r="Y60" s="127" t="s">
        <v>321</v>
      </c>
      <c r="Z60" s="127" t="s">
        <v>322</v>
      </c>
      <c r="AA60" s="128">
        <v>10</v>
      </c>
      <c r="AB60" s="128">
        <v>11.79</v>
      </c>
      <c r="AC60" s="128">
        <v>5.99</v>
      </c>
      <c r="AD60" s="128"/>
      <c r="AE60" s="127" t="s">
        <v>323</v>
      </c>
      <c r="AF60" s="128"/>
      <c r="AG60" s="128"/>
      <c r="AH60" s="128"/>
      <c r="AI60" s="128"/>
      <c r="AJ60" s="128"/>
      <c r="AK60" s="128"/>
      <c r="AL60" s="128"/>
      <c r="AM60" s="128"/>
    </row>
    <row r="61" customHeight="1" spans="1:39">
      <c r="A61" s="127" t="s">
        <v>39</v>
      </c>
      <c r="B61" s="127" t="s">
        <v>40</v>
      </c>
      <c r="C61" s="127" t="s">
        <v>41</v>
      </c>
      <c r="D61" s="127" t="s">
        <v>312</v>
      </c>
      <c r="E61" s="127"/>
      <c r="F61" s="127" t="s">
        <v>43</v>
      </c>
      <c r="G61" s="127" t="s">
        <v>44</v>
      </c>
      <c r="H61" s="127" t="s">
        <v>45</v>
      </c>
      <c r="I61" s="127">
        <v>7001221</v>
      </c>
      <c r="J61" s="127" t="s">
        <v>46</v>
      </c>
      <c r="K61" s="127">
        <v>13656706121</v>
      </c>
      <c r="L61" s="127" t="s">
        <v>313</v>
      </c>
      <c r="M61" s="127"/>
      <c r="N61" s="127" t="s">
        <v>314</v>
      </c>
      <c r="O61" s="127">
        <v>7001127</v>
      </c>
      <c r="P61" s="127" t="s">
        <v>315</v>
      </c>
      <c r="Q61" s="127">
        <v>19805706600</v>
      </c>
      <c r="R61" s="127" t="s">
        <v>316</v>
      </c>
      <c r="S61" s="127" t="s">
        <v>317</v>
      </c>
      <c r="T61" s="127"/>
      <c r="U61" s="127" t="s">
        <v>318</v>
      </c>
      <c r="V61" s="127">
        <v>15306709841</v>
      </c>
      <c r="W61" s="127" t="s">
        <v>319</v>
      </c>
      <c r="X61" s="127" t="s">
        <v>320</v>
      </c>
      <c r="Y61" s="127" t="s">
        <v>324</v>
      </c>
      <c r="Z61" s="127" t="s">
        <v>325</v>
      </c>
      <c r="AA61" s="128">
        <v>1</v>
      </c>
      <c r="AB61" s="128">
        <v>0.99</v>
      </c>
      <c r="AC61" s="128">
        <v>0.99</v>
      </c>
      <c r="AD61" s="128"/>
      <c r="AE61" s="127" t="s">
        <v>326</v>
      </c>
      <c r="AF61" s="128"/>
      <c r="AG61" s="128"/>
      <c r="AH61" s="128"/>
      <c r="AI61" s="128"/>
      <c r="AJ61" s="128"/>
      <c r="AK61" s="128"/>
      <c r="AL61" s="128"/>
      <c r="AM61" s="128"/>
    </row>
    <row r="62" customHeight="1" spans="1:39">
      <c r="A62" s="127" t="s">
        <v>39</v>
      </c>
      <c r="B62" s="127" t="s">
        <v>40</v>
      </c>
      <c r="C62" s="127" t="s">
        <v>41</v>
      </c>
      <c r="D62" s="127" t="s">
        <v>312</v>
      </c>
      <c r="E62" s="127"/>
      <c r="F62" s="127" t="s">
        <v>43</v>
      </c>
      <c r="G62" s="127" t="s">
        <v>44</v>
      </c>
      <c r="H62" s="127" t="s">
        <v>45</v>
      </c>
      <c r="I62" s="127">
        <v>7001221</v>
      </c>
      <c r="J62" s="127" t="s">
        <v>46</v>
      </c>
      <c r="K62" s="127">
        <v>13656706121</v>
      </c>
      <c r="L62" s="127" t="s">
        <v>313</v>
      </c>
      <c r="M62" s="127"/>
      <c r="N62" s="127" t="s">
        <v>314</v>
      </c>
      <c r="O62" s="127">
        <v>7001127</v>
      </c>
      <c r="P62" s="127" t="s">
        <v>315</v>
      </c>
      <c r="Q62" s="127">
        <v>19805706600</v>
      </c>
      <c r="R62" s="127" t="s">
        <v>316</v>
      </c>
      <c r="S62" s="127" t="s">
        <v>317</v>
      </c>
      <c r="T62" s="127"/>
      <c r="U62" s="127" t="s">
        <v>318</v>
      </c>
      <c r="V62" s="127">
        <v>15306709841</v>
      </c>
      <c r="W62" s="127" t="s">
        <v>319</v>
      </c>
      <c r="X62" s="127" t="s">
        <v>320</v>
      </c>
      <c r="Y62" s="127" t="s">
        <v>327</v>
      </c>
      <c r="Z62" s="127" t="s">
        <v>328</v>
      </c>
      <c r="AA62" s="128">
        <v>1</v>
      </c>
      <c r="AB62" s="128">
        <v>1.02</v>
      </c>
      <c r="AC62" s="128">
        <v>1.02</v>
      </c>
      <c r="AD62" s="128"/>
      <c r="AE62" s="127" t="s">
        <v>329</v>
      </c>
      <c r="AF62" s="128"/>
      <c r="AG62" s="128"/>
      <c r="AH62" s="128"/>
      <c r="AI62" s="128"/>
      <c r="AJ62" s="128"/>
      <c r="AK62" s="128"/>
      <c r="AL62" s="128"/>
      <c r="AM62" s="128"/>
    </row>
    <row r="63" customHeight="1" spans="1:39">
      <c r="A63" s="127" t="s">
        <v>39</v>
      </c>
      <c r="B63" s="127" t="s">
        <v>40</v>
      </c>
      <c r="C63" s="127" t="s">
        <v>41</v>
      </c>
      <c r="D63" s="127" t="s">
        <v>312</v>
      </c>
      <c r="E63" s="127"/>
      <c r="F63" s="127" t="s">
        <v>43</v>
      </c>
      <c r="G63" s="127" t="s">
        <v>44</v>
      </c>
      <c r="H63" s="127" t="s">
        <v>45</v>
      </c>
      <c r="I63" s="127">
        <v>7001221</v>
      </c>
      <c r="J63" s="127" t="s">
        <v>46</v>
      </c>
      <c r="K63" s="127">
        <v>13656706121</v>
      </c>
      <c r="L63" s="127" t="s">
        <v>313</v>
      </c>
      <c r="M63" s="127"/>
      <c r="N63" s="127" t="s">
        <v>314</v>
      </c>
      <c r="O63" s="127">
        <v>7001127</v>
      </c>
      <c r="P63" s="127" t="s">
        <v>315</v>
      </c>
      <c r="Q63" s="127">
        <v>19805706600</v>
      </c>
      <c r="R63" s="127" t="s">
        <v>316</v>
      </c>
      <c r="S63" s="127" t="s">
        <v>317</v>
      </c>
      <c r="T63" s="127"/>
      <c r="U63" s="127" t="s">
        <v>318</v>
      </c>
      <c r="V63" s="127">
        <v>15306709841</v>
      </c>
      <c r="W63" s="127" t="s">
        <v>319</v>
      </c>
      <c r="X63" s="127" t="s">
        <v>320</v>
      </c>
      <c r="Y63" s="127" t="s">
        <v>330</v>
      </c>
      <c r="Z63" s="127" t="s">
        <v>331</v>
      </c>
      <c r="AA63" s="128">
        <v>0.5</v>
      </c>
      <c r="AB63" s="128">
        <v>0.5</v>
      </c>
      <c r="AC63" s="128">
        <v>0.49</v>
      </c>
      <c r="AD63" s="128"/>
      <c r="AE63" s="127" t="s">
        <v>332</v>
      </c>
      <c r="AF63" s="128"/>
      <c r="AG63" s="128"/>
      <c r="AH63" s="128"/>
      <c r="AI63" s="128"/>
      <c r="AJ63" s="128"/>
      <c r="AK63" s="128"/>
      <c r="AL63" s="128"/>
      <c r="AM63" s="128"/>
    </row>
    <row r="64" customHeight="1" spans="1:39">
      <c r="A64" s="127" t="s">
        <v>39</v>
      </c>
      <c r="B64" s="127" t="s">
        <v>40</v>
      </c>
      <c r="C64" s="127" t="s">
        <v>41</v>
      </c>
      <c r="D64" s="127" t="s">
        <v>312</v>
      </c>
      <c r="E64" s="127"/>
      <c r="F64" s="127" t="s">
        <v>43</v>
      </c>
      <c r="G64" s="127" t="s">
        <v>44</v>
      </c>
      <c r="H64" s="127" t="s">
        <v>45</v>
      </c>
      <c r="I64" s="127">
        <v>7001221</v>
      </c>
      <c r="J64" s="127" t="s">
        <v>46</v>
      </c>
      <c r="K64" s="127">
        <v>13656706121</v>
      </c>
      <c r="L64" s="127" t="s">
        <v>313</v>
      </c>
      <c r="M64" s="127"/>
      <c r="N64" s="127" t="s">
        <v>314</v>
      </c>
      <c r="O64" s="127">
        <v>7001127</v>
      </c>
      <c r="P64" s="127" t="s">
        <v>315</v>
      </c>
      <c r="Q64" s="127">
        <v>19805706600</v>
      </c>
      <c r="R64" s="127" t="s">
        <v>316</v>
      </c>
      <c r="S64" s="127" t="s">
        <v>317</v>
      </c>
      <c r="T64" s="127"/>
      <c r="U64" s="127" t="s">
        <v>318</v>
      </c>
      <c r="V64" s="127">
        <v>15306709841</v>
      </c>
      <c r="W64" s="127" t="s">
        <v>319</v>
      </c>
      <c r="X64" s="127" t="s">
        <v>320</v>
      </c>
      <c r="Y64" s="127" t="s">
        <v>333</v>
      </c>
      <c r="Z64" s="127" t="s">
        <v>334</v>
      </c>
      <c r="AA64" s="128">
        <v>0.5</v>
      </c>
      <c r="AB64" s="128">
        <v>0.54</v>
      </c>
      <c r="AC64" s="128">
        <v>0.54</v>
      </c>
      <c r="AD64" s="128"/>
      <c r="AE64" s="127" t="s">
        <v>335</v>
      </c>
      <c r="AF64" s="128"/>
      <c r="AG64" s="128"/>
      <c r="AH64" s="128"/>
      <c r="AI64" s="128"/>
      <c r="AJ64" s="128"/>
      <c r="AK64" s="128"/>
      <c r="AL64" s="128"/>
      <c r="AM64" s="128"/>
    </row>
    <row r="65" customHeight="1" spans="1:39">
      <c r="A65" s="127" t="s">
        <v>39</v>
      </c>
      <c r="B65" s="127" t="s">
        <v>40</v>
      </c>
      <c r="C65" s="127" t="s">
        <v>41</v>
      </c>
      <c r="D65" s="127" t="s">
        <v>312</v>
      </c>
      <c r="E65" s="127"/>
      <c r="F65" s="127" t="s">
        <v>43</v>
      </c>
      <c r="G65" s="127" t="s">
        <v>44</v>
      </c>
      <c r="H65" s="127" t="s">
        <v>45</v>
      </c>
      <c r="I65" s="127">
        <v>7001221</v>
      </c>
      <c r="J65" s="127" t="s">
        <v>46</v>
      </c>
      <c r="K65" s="127">
        <v>13656706121</v>
      </c>
      <c r="L65" s="127" t="s">
        <v>313</v>
      </c>
      <c r="M65" s="127"/>
      <c r="N65" s="127" t="s">
        <v>314</v>
      </c>
      <c r="O65" s="127">
        <v>7001127</v>
      </c>
      <c r="P65" s="127" t="s">
        <v>315</v>
      </c>
      <c r="Q65" s="127">
        <v>19805706600</v>
      </c>
      <c r="R65" s="127" t="s">
        <v>316</v>
      </c>
      <c r="S65" s="127" t="s">
        <v>317</v>
      </c>
      <c r="T65" s="127"/>
      <c r="U65" s="127" t="s">
        <v>318</v>
      </c>
      <c r="V65" s="127">
        <v>15306709841</v>
      </c>
      <c r="W65" s="127" t="s">
        <v>336</v>
      </c>
      <c r="X65" s="127" t="s">
        <v>337</v>
      </c>
      <c r="Y65" s="127" t="s">
        <v>338</v>
      </c>
      <c r="Z65" s="127" t="s">
        <v>339</v>
      </c>
      <c r="AA65" s="128">
        <v>439</v>
      </c>
      <c r="AB65" s="128">
        <v>182.46</v>
      </c>
      <c r="AC65" s="128">
        <v>177.9</v>
      </c>
      <c r="AD65" s="128"/>
      <c r="AE65" s="127" t="s">
        <v>340</v>
      </c>
      <c r="AF65" s="128"/>
      <c r="AG65" s="128"/>
      <c r="AH65" s="128"/>
      <c r="AI65" s="128"/>
      <c r="AJ65" s="128"/>
      <c r="AK65" s="128"/>
      <c r="AL65" s="128"/>
      <c r="AM65" s="128"/>
    </row>
    <row r="66" customHeight="1" spans="1:39">
      <c r="A66" s="127" t="s">
        <v>39</v>
      </c>
      <c r="B66" s="127" t="s">
        <v>40</v>
      </c>
      <c r="C66" s="127" t="s">
        <v>41</v>
      </c>
      <c r="D66" s="127" t="s">
        <v>312</v>
      </c>
      <c r="E66" s="127"/>
      <c r="F66" s="127" t="s">
        <v>43</v>
      </c>
      <c r="G66" s="127" t="s">
        <v>44</v>
      </c>
      <c r="H66" s="127" t="s">
        <v>45</v>
      </c>
      <c r="I66" s="127">
        <v>7001221</v>
      </c>
      <c r="J66" s="127" t="s">
        <v>46</v>
      </c>
      <c r="K66" s="127">
        <v>13656706121</v>
      </c>
      <c r="L66" s="127" t="s">
        <v>313</v>
      </c>
      <c r="M66" s="127"/>
      <c r="N66" s="127" t="s">
        <v>314</v>
      </c>
      <c r="O66" s="127">
        <v>7001127</v>
      </c>
      <c r="P66" s="127" t="s">
        <v>315</v>
      </c>
      <c r="Q66" s="127">
        <v>19805706600</v>
      </c>
      <c r="R66" s="127" t="s">
        <v>316</v>
      </c>
      <c r="S66" s="127" t="s">
        <v>317</v>
      </c>
      <c r="T66" s="127"/>
      <c r="U66" s="127" t="s">
        <v>318</v>
      </c>
      <c r="V66" s="127">
        <v>15306709841</v>
      </c>
      <c r="W66" s="127" t="s">
        <v>336</v>
      </c>
      <c r="X66" s="127" t="s">
        <v>337</v>
      </c>
      <c r="Y66" s="127" t="s">
        <v>341</v>
      </c>
      <c r="Z66" s="127" t="s">
        <v>342</v>
      </c>
      <c r="AA66" s="128">
        <v>1.77</v>
      </c>
      <c r="AB66" s="128">
        <v>1.83</v>
      </c>
      <c r="AC66" s="128">
        <v>1.86</v>
      </c>
      <c r="AD66" s="128"/>
      <c r="AE66" s="127" t="s">
        <v>343</v>
      </c>
      <c r="AF66" s="128"/>
      <c r="AG66" s="128"/>
      <c r="AH66" s="128"/>
      <c r="AI66" s="128"/>
      <c r="AJ66" s="128"/>
      <c r="AK66" s="128"/>
      <c r="AL66" s="128"/>
      <c r="AM66" s="128"/>
    </row>
    <row r="67" customHeight="1" spans="1:39">
      <c r="A67" s="127" t="s">
        <v>39</v>
      </c>
      <c r="B67" s="127" t="s">
        <v>40</v>
      </c>
      <c r="C67" s="127" t="s">
        <v>41</v>
      </c>
      <c r="D67" s="127" t="s">
        <v>312</v>
      </c>
      <c r="E67" s="127"/>
      <c r="F67" s="127" t="s">
        <v>43</v>
      </c>
      <c r="G67" s="127" t="s">
        <v>44</v>
      </c>
      <c r="H67" s="127" t="s">
        <v>45</v>
      </c>
      <c r="I67" s="127">
        <v>7001221</v>
      </c>
      <c r="J67" s="127" t="s">
        <v>46</v>
      </c>
      <c r="K67" s="127">
        <v>13656706121</v>
      </c>
      <c r="L67" s="127" t="s">
        <v>313</v>
      </c>
      <c r="M67" s="127"/>
      <c r="N67" s="127" t="s">
        <v>314</v>
      </c>
      <c r="O67" s="127">
        <v>7001127</v>
      </c>
      <c r="P67" s="127" t="s">
        <v>315</v>
      </c>
      <c r="Q67" s="127">
        <v>19805706600</v>
      </c>
      <c r="R67" s="127" t="s">
        <v>316</v>
      </c>
      <c r="S67" s="127" t="s">
        <v>317</v>
      </c>
      <c r="T67" s="127"/>
      <c r="U67" s="127" t="s">
        <v>318</v>
      </c>
      <c r="V67" s="127">
        <v>15306709841</v>
      </c>
      <c r="W67" s="127" t="s">
        <v>336</v>
      </c>
      <c r="X67" s="127" t="s">
        <v>337</v>
      </c>
      <c r="Y67" s="127" t="s">
        <v>344</v>
      </c>
      <c r="Z67" s="127" t="s">
        <v>345</v>
      </c>
      <c r="AA67" s="128">
        <v>0.56</v>
      </c>
      <c r="AB67" s="128">
        <v>0.51</v>
      </c>
      <c r="AC67" s="128">
        <v>0.51</v>
      </c>
      <c r="AD67" s="128"/>
      <c r="AE67" s="127" t="s">
        <v>346</v>
      </c>
      <c r="AF67" s="128"/>
      <c r="AG67" s="128"/>
      <c r="AH67" s="128"/>
      <c r="AI67" s="128"/>
      <c r="AJ67" s="128"/>
      <c r="AK67" s="128"/>
      <c r="AL67" s="128"/>
      <c r="AM67" s="128"/>
    </row>
    <row r="68" customHeight="1" spans="1:39">
      <c r="A68" s="127" t="s">
        <v>39</v>
      </c>
      <c r="B68" s="127" t="s">
        <v>40</v>
      </c>
      <c r="C68" s="127" t="s">
        <v>41</v>
      </c>
      <c r="D68" s="127" t="s">
        <v>312</v>
      </c>
      <c r="E68" s="127"/>
      <c r="F68" s="127" t="s">
        <v>43</v>
      </c>
      <c r="G68" s="127" t="s">
        <v>44</v>
      </c>
      <c r="H68" s="127" t="s">
        <v>45</v>
      </c>
      <c r="I68" s="127">
        <v>7001221</v>
      </c>
      <c r="J68" s="127" t="s">
        <v>46</v>
      </c>
      <c r="K68" s="127">
        <v>13656706121</v>
      </c>
      <c r="L68" s="127" t="s">
        <v>313</v>
      </c>
      <c r="M68" s="127"/>
      <c r="N68" s="127" t="s">
        <v>314</v>
      </c>
      <c r="O68" s="127">
        <v>7001127</v>
      </c>
      <c r="P68" s="127" t="s">
        <v>315</v>
      </c>
      <c r="Q68" s="127">
        <v>19805706600</v>
      </c>
      <c r="R68" s="127" t="s">
        <v>316</v>
      </c>
      <c r="S68" s="127" t="s">
        <v>317</v>
      </c>
      <c r="T68" s="127"/>
      <c r="U68" s="127" t="s">
        <v>318</v>
      </c>
      <c r="V68" s="127">
        <v>15306709841</v>
      </c>
      <c r="W68" s="127" t="s">
        <v>336</v>
      </c>
      <c r="X68" s="127" t="s">
        <v>337</v>
      </c>
      <c r="Y68" s="127" t="s">
        <v>347</v>
      </c>
      <c r="Z68" s="127" t="s">
        <v>348</v>
      </c>
      <c r="AA68" s="128">
        <v>1.626</v>
      </c>
      <c r="AB68" s="128">
        <v>1.55</v>
      </c>
      <c r="AC68" s="128">
        <v>1.55</v>
      </c>
      <c r="AD68" s="128"/>
      <c r="AE68" s="127" t="s">
        <v>349</v>
      </c>
      <c r="AF68" s="128"/>
      <c r="AG68" s="128"/>
      <c r="AH68" s="128"/>
      <c r="AI68" s="128"/>
      <c r="AJ68" s="128"/>
      <c r="AK68" s="128"/>
      <c r="AL68" s="128"/>
      <c r="AM68" s="128"/>
    </row>
    <row r="69" customHeight="1" spans="1:39">
      <c r="A69" s="127" t="s">
        <v>39</v>
      </c>
      <c r="B69" s="127" t="s">
        <v>40</v>
      </c>
      <c r="C69" s="127" t="s">
        <v>41</v>
      </c>
      <c r="D69" s="127" t="s">
        <v>312</v>
      </c>
      <c r="E69" s="127"/>
      <c r="F69" s="127" t="s">
        <v>43</v>
      </c>
      <c r="G69" s="127" t="s">
        <v>44</v>
      </c>
      <c r="H69" s="127" t="s">
        <v>45</v>
      </c>
      <c r="I69" s="127">
        <v>7001221</v>
      </c>
      <c r="J69" s="127" t="s">
        <v>46</v>
      </c>
      <c r="K69" s="127">
        <v>13656706121</v>
      </c>
      <c r="L69" s="127" t="s">
        <v>313</v>
      </c>
      <c r="M69" s="127"/>
      <c r="N69" s="127" t="s">
        <v>314</v>
      </c>
      <c r="O69" s="127">
        <v>7001127</v>
      </c>
      <c r="P69" s="127" t="s">
        <v>315</v>
      </c>
      <c r="Q69" s="127">
        <v>19805706600</v>
      </c>
      <c r="R69" s="127" t="s">
        <v>316</v>
      </c>
      <c r="S69" s="127" t="s">
        <v>317</v>
      </c>
      <c r="T69" s="127"/>
      <c r="U69" s="127" t="s">
        <v>318</v>
      </c>
      <c r="V69" s="127">
        <v>15306709841</v>
      </c>
      <c r="W69" s="127" t="s">
        <v>336</v>
      </c>
      <c r="X69" s="127" t="s">
        <v>337</v>
      </c>
      <c r="Y69" s="127" t="s">
        <v>350</v>
      </c>
      <c r="Z69" s="127" t="s">
        <v>351</v>
      </c>
      <c r="AA69" s="128">
        <v>3.67</v>
      </c>
      <c r="AB69" s="128">
        <v>3.51</v>
      </c>
      <c r="AC69" s="128">
        <v>3.51</v>
      </c>
      <c r="AD69" s="128"/>
      <c r="AE69" s="127" t="s">
        <v>352</v>
      </c>
      <c r="AF69" s="128"/>
      <c r="AG69" s="128"/>
      <c r="AH69" s="128"/>
      <c r="AI69" s="128"/>
      <c r="AJ69" s="128"/>
      <c r="AK69" s="128"/>
      <c r="AL69" s="128"/>
      <c r="AM69" s="128"/>
    </row>
    <row r="70" customHeight="1" spans="1:39">
      <c r="A70" s="127" t="s">
        <v>39</v>
      </c>
      <c r="B70" s="127" t="s">
        <v>40</v>
      </c>
      <c r="C70" s="127" t="s">
        <v>41</v>
      </c>
      <c r="D70" s="127" t="s">
        <v>312</v>
      </c>
      <c r="E70" s="127"/>
      <c r="F70" s="127" t="s">
        <v>43</v>
      </c>
      <c r="G70" s="127" t="s">
        <v>44</v>
      </c>
      <c r="H70" s="127" t="s">
        <v>45</v>
      </c>
      <c r="I70" s="127">
        <v>7001221</v>
      </c>
      <c r="J70" s="127" t="s">
        <v>46</v>
      </c>
      <c r="K70" s="127">
        <v>13656706121</v>
      </c>
      <c r="L70" s="127" t="s">
        <v>313</v>
      </c>
      <c r="M70" s="127"/>
      <c r="N70" s="127" t="s">
        <v>314</v>
      </c>
      <c r="O70" s="127">
        <v>7001127</v>
      </c>
      <c r="P70" s="127" t="s">
        <v>315</v>
      </c>
      <c r="Q70" s="127">
        <v>19805706600</v>
      </c>
      <c r="R70" s="127" t="s">
        <v>316</v>
      </c>
      <c r="S70" s="127" t="s">
        <v>317</v>
      </c>
      <c r="T70" s="127"/>
      <c r="U70" s="127" t="s">
        <v>318</v>
      </c>
      <c r="V70" s="127">
        <v>15306709841</v>
      </c>
      <c r="W70" s="127" t="s">
        <v>336</v>
      </c>
      <c r="X70" s="127" t="s">
        <v>337</v>
      </c>
      <c r="Y70" s="127" t="s">
        <v>353</v>
      </c>
      <c r="Z70" s="127" t="s">
        <v>354</v>
      </c>
      <c r="AA70" s="128">
        <v>2392.78</v>
      </c>
      <c r="AB70" s="128">
        <v>99.33</v>
      </c>
      <c r="AC70" s="128">
        <v>96.83</v>
      </c>
      <c r="AD70" s="128"/>
      <c r="AE70" s="127" t="s">
        <v>355</v>
      </c>
      <c r="AF70" s="128"/>
      <c r="AG70" s="128"/>
      <c r="AH70" s="128"/>
      <c r="AI70" s="128"/>
      <c r="AJ70" s="128"/>
      <c r="AK70" s="128"/>
      <c r="AL70" s="128"/>
      <c r="AM70" s="128"/>
    </row>
    <row r="71" customHeight="1" spans="1:39">
      <c r="A71" s="127" t="s">
        <v>39</v>
      </c>
      <c r="B71" s="127" t="s">
        <v>40</v>
      </c>
      <c r="C71" s="127" t="s">
        <v>41</v>
      </c>
      <c r="D71" s="127" t="s">
        <v>312</v>
      </c>
      <c r="E71" s="127"/>
      <c r="F71" s="127" t="s">
        <v>43</v>
      </c>
      <c r="G71" s="127" t="s">
        <v>44</v>
      </c>
      <c r="H71" s="127" t="s">
        <v>45</v>
      </c>
      <c r="I71" s="127">
        <v>7001221</v>
      </c>
      <c r="J71" s="127" t="s">
        <v>46</v>
      </c>
      <c r="K71" s="127">
        <v>13656706121</v>
      </c>
      <c r="L71" s="127" t="s">
        <v>313</v>
      </c>
      <c r="M71" s="127"/>
      <c r="N71" s="127" t="s">
        <v>314</v>
      </c>
      <c r="O71" s="127">
        <v>7001127</v>
      </c>
      <c r="P71" s="127" t="s">
        <v>315</v>
      </c>
      <c r="Q71" s="127">
        <v>19805706600</v>
      </c>
      <c r="R71" s="127" t="s">
        <v>316</v>
      </c>
      <c r="S71" s="127" t="s">
        <v>317</v>
      </c>
      <c r="T71" s="127"/>
      <c r="U71" s="127" t="s">
        <v>318</v>
      </c>
      <c r="V71" s="127">
        <v>15306709841</v>
      </c>
      <c r="W71" s="127" t="s">
        <v>356</v>
      </c>
      <c r="X71" s="127" t="s">
        <v>357</v>
      </c>
      <c r="Y71" s="127" t="s">
        <v>358</v>
      </c>
      <c r="Z71" s="127" t="s">
        <v>359</v>
      </c>
      <c r="AA71" s="128">
        <v>439</v>
      </c>
      <c r="AB71" s="128">
        <v>135.6</v>
      </c>
      <c r="AC71" s="128">
        <v>132.7</v>
      </c>
      <c r="AD71" s="128"/>
      <c r="AE71" s="127" t="s">
        <v>340</v>
      </c>
      <c r="AF71" s="128"/>
      <c r="AG71" s="128"/>
      <c r="AH71" s="128"/>
      <c r="AI71" s="128"/>
      <c r="AJ71" s="128"/>
      <c r="AK71" s="128"/>
      <c r="AL71" s="128"/>
      <c r="AM71" s="128"/>
    </row>
    <row r="72" customHeight="1" spans="1:39">
      <c r="A72" s="127" t="s">
        <v>39</v>
      </c>
      <c r="B72" s="127" t="s">
        <v>40</v>
      </c>
      <c r="C72" s="127" t="s">
        <v>41</v>
      </c>
      <c r="D72" s="127" t="s">
        <v>312</v>
      </c>
      <c r="E72" s="127"/>
      <c r="F72" s="127" t="s">
        <v>43</v>
      </c>
      <c r="G72" s="127" t="s">
        <v>44</v>
      </c>
      <c r="H72" s="127" t="s">
        <v>45</v>
      </c>
      <c r="I72" s="127">
        <v>7001221</v>
      </c>
      <c r="J72" s="127" t="s">
        <v>46</v>
      </c>
      <c r="K72" s="127">
        <v>13656706121</v>
      </c>
      <c r="L72" s="127" t="s">
        <v>313</v>
      </c>
      <c r="M72" s="127"/>
      <c r="N72" s="127" t="s">
        <v>314</v>
      </c>
      <c r="O72" s="127">
        <v>7001127</v>
      </c>
      <c r="P72" s="127" t="s">
        <v>315</v>
      </c>
      <c r="Q72" s="127">
        <v>19805706600</v>
      </c>
      <c r="R72" s="127" t="s">
        <v>316</v>
      </c>
      <c r="S72" s="127" t="s">
        <v>317</v>
      </c>
      <c r="T72" s="127"/>
      <c r="U72" s="127" t="s">
        <v>318</v>
      </c>
      <c r="V72" s="127">
        <v>15306709841</v>
      </c>
      <c r="W72" s="127" t="s">
        <v>360</v>
      </c>
      <c r="X72" s="127" t="s">
        <v>361</v>
      </c>
      <c r="Y72" s="127" t="s">
        <v>362</v>
      </c>
      <c r="Z72" s="127" t="s">
        <v>363</v>
      </c>
      <c r="AA72" s="128">
        <v>2392.78</v>
      </c>
      <c r="AB72" s="128">
        <v>14.28</v>
      </c>
      <c r="AC72" s="128">
        <v>13.6</v>
      </c>
      <c r="AD72" s="128"/>
      <c r="AE72" s="127" t="s">
        <v>355</v>
      </c>
      <c r="AF72" s="128"/>
      <c r="AG72" s="128"/>
      <c r="AH72" s="128"/>
      <c r="AI72" s="128"/>
      <c r="AJ72" s="128"/>
      <c r="AK72" s="128"/>
      <c r="AL72" s="128"/>
      <c r="AM72" s="128"/>
    </row>
    <row r="73" customHeight="1" spans="1:39">
      <c r="A73" s="127" t="s">
        <v>39</v>
      </c>
      <c r="B73" s="127" t="s">
        <v>40</v>
      </c>
      <c r="C73" s="127" t="s">
        <v>41</v>
      </c>
      <c r="D73" s="127" t="s">
        <v>312</v>
      </c>
      <c r="E73" s="127"/>
      <c r="F73" s="127" t="s">
        <v>43</v>
      </c>
      <c r="G73" s="127" t="s">
        <v>44</v>
      </c>
      <c r="H73" s="127" t="s">
        <v>45</v>
      </c>
      <c r="I73" s="127">
        <v>7001221</v>
      </c>
      <c r="J73" s="127" t="s">
        <v>46</v>
      </c>
      <c r="K73" s="127">
        <v>13656706121</v>
      </c>
      <c r="L73" s="127" t="s">
        <v>313</v>
      </c>
      <c r="M73" s="127"/>
      <c r="N73" s="127" t="s">
        <v>314</v>
      </c>
      <c r="O73" s="127">
        <v>7001127</v>
      </c>
      <c r="P73" s="127" t="s">
        <v>315</v>
      </c>
      <c r="Q73" s="127">
        <v>19805706600</v>
      </c>
      <c r="R73" s="127" t="s">
        <v>316</v>
      </c>
      <c r="S73" s="127" t="s">
        <v>317</v>
      </c>
      <c r="T73" s="127"/>
      <c r="U73" s="127" t="s">
        <v>318</v>
      </c>
      <c r="V73" s="127">
        <v>15306709841</v>
      </c>
      <c r="W73" s="127" t="s">
        <v>364</v>
      </c>
      <c r="X73" s="127" t="s">
        <v>365</v>
      </c>
      <c r="Y73" s="127" t="s">
        <v>366</v>
      </c>
      <c r="Z73" s="127" t="s">
        <v>367</v>
      </c>
      <c r="AA73" s="128">
        <v>2392.78</v>
      </c>
      <c r="AB73" s="128">
        <v>81.12</v>
      </c>
      <c r="AC73" s="128">
        <v>80.52</v>
      </c>
      <c r="AD73" s="128"/>
      <c r="AE73" s="127" t="s">
        <v>355</v>
      </c>
      <c r="AF73" s="128"/>
      <c r="AG73" s="128"/>
      <c r="AH73" s="128"/>
      <c r="AI73" s="128"/>
      <c r="AJ73" s="128"/>
      <c r="AK73" s="128"/>
      <c r="AL73" s="128"/>
      <c r="AM73" s="128"/>
    </row>
    <row r="74" customHeight="1" spans="1:39">
      <c r="A74" s="127" t="s">
        <v>39</v>
      </c>
      <c r="B74" s="127" t="s">
        <v>40</v>
      </c>
      <c r="C74" s="127" t="s">
        <v>41</v>
      </c>
      <c r="D74" s="127" t="s">
        <v>368</v>
      </c>
      <c r="E74" s="127"/>
      <c r="F74" s="127" t="s">
        <v>43</v>
      </c>
      <c r="G74" s="127" t="s">
        <v>44</v>
      </c>
      <c r="H74" s="127" t="s">
        <v>45</v>
      </c>
      <c r="I74" s="127">
        <v>7001221</v>
      </c>
      <c r="J74" s="127" t="s">
        <v>46</v>
      </c>
      <c r="K74" s="127">
        <v>13656706121</v>
      </c>
      <c r="L74" s="127" t="s">
        <v>313</v>
      </c>
      <c r="M74" s="127"/>
      <c r="N74" s="127" t="s">
        <v>314</v>
      </c>
      <c r="O74" s="127">
        <v>7001126</v>
      </c>
      <c r="P74" s="127" t="s">
        <v>315</v>
      </c>
      <c r="Q74" s="127">
        <v>19805706600</v>
      </c>
      <c r="R74" s="127" t="s">
        <v>369</v>
      </c>
      <c r="S74" s="127" t="s">
        <v>370</v>
      </c>
      <c r="T74" s="127"/>
      <c r="U74" s="127" t="s">
        <v>371</v>
      </c>
      <c r="V74" s="127">
        <v>15224008917</v>
      </c>
      <c r="W74" s="127" t="s">
        <v>372</v>
      </c>
      <c r="X74" s="127" t="s">
        <v>373</v>
      </c>
      <c r="Y74" s="127" t="s">
        <v>374</v>
      </c>
      <c r="Z74" s="127" t="s">
        <v>375</v>
      </c>
      <c r="AA74" s="128">
        <v>350</v>
      </c>
      <c r="AB74" s="128">
        <v>318</v>
      </c>
      <c r="AC74" s="128">
        <v>318.18</v>
      </c>
      <c r="AD74" s="128"/>
      <c r="AE74" s="127" t="s">
        <v>376</v>
      </c>
      <c r="AF74" s="128"/>
      <c r="AG74" s="128"/>
      <c r="AH74" s="128"/>
      <c r="AI74" s="128"/>
      <c r="AJ74" s="128"/>
      <c r="AK74" s="128"/>
      <c r="AL74" s="128"/>
      <c r="AM74" s="128"/>
    </row>
    <row r="75" customHeight="1" spans="1:39">
      <c r="A75" s="127" t="s">
        <v>39</v>
      </c>
      <c r="B75" s="127" t="s">
        <v>40</v>
      </c>
      <c r="C75" s="127" t="s">
        <v>41</v>
      </c>
      <c r="D75" s="127" t="s">
        <v>368</v>
      </c>
      <c r="E75" s="127"/>
      <c r="F75" s="127" t="s">
        <v>43</v>
      </c>
      <c r="G75" s="127" t="s">
        <v>44</v>
      </c>
      <c r="H75" s="127" t="s">
        <v>45</v>
      </c>
      <c r="I75" s="127">
        <v>7001221</v>
      </c>
      <c r="J75" s="127" t="s">
        <v>46</v>
      </c>
      <c r="K75" s="127">
        <v>13656706121</v>
      </c>
      <c r="L75" s="127" t="s">
        <v>313</v>
      </c>
      <c r="M75" s="127"/>
      <c r="N75" s="127" t="s">
        <v>314</v>
      </c>
      <c r="O75" s="127">
        <v>7001126</v>
      </c>
      <c r="P75" s="127" t="s">
        <v>315</v>
      </c>
      <c r="Q75" s="127">
        <v>19805706600</v>
      </c>
      <c r="R75" s="127" t="s">
        <v>369</v>
      </c>
      <c r="S75" s="127" t="s">
        <v>370</v>
      </c>
      <c r="T75" s="127"/>
      <c r="U75" s="127" t="s">
        <v>371</v>
      </c>
      <c r="V75" s="127">
        <v>15224008917</v>
      </c>
      <c r="W75" s="127" t="s">
        <v>377</v>
      </c>
      <c r="X75" s="127" t="s">
        <v>378</v>
      </c>
      <c r="Y75" s="127" t="s">
        <v>379</v>
      </c>
      <c r="Z75" s="127" t="s">
        <v>380</v>
      </c>
      <c r="AA75" s="128">
        <v>2</v>
      </c>
      <c r="AB75" s="128">
        <v>1.82</v>
      </c>
      <c r="AC75" s="128">
        <v>1.82</v>
      </c>
      <c r="AD75" s="128"/>
      <c r="AE75" s="127" t="s">
        <v>381</v>
      </c>
      <c r="AF75" s="128"/>
      <c r="AG75" s="128"/>
      <c r="AH75" s="128"/>
      <c r="AI75" s="128"/>
      <c r="AJ75" s="128"/>
      <c r="AK75" s="128"/>
      <c r="AL75" s="128"/>
      <c r="AM75" s="128"/>
    </row>
    <row r="76" customHeight="1" spans="1:39">
      <c r="A76" s="127" t="s">
        <v>39</v>
      </c>
      <c r="B76" s="127" t="s">
        <v>40</v>
      </c>
      <c r="C76" s="127" t="s">
        <v>41</v>
      </c>
      <c r="D76" s="127" t="s">
        <v>368</v>
      </c>
      <c r="E76" s="127"/>
      <c r="F76" s="127" t="s">
        <v>43</v>
      </c>
      <c r="G76" s="127" t="s">
        <v>44</v>
      </c>
      <c r="H76" s="127" t="s">
        <v>45</v>
      </c>
      <c r="I76" s="127">
        <v>7001221</v>
      </c>
      <c r="J76" s="127" t="s">
        <v>46</v>
      </c>
      <c r="K76" s="127">
        <v>13656706121</v>
      </c>
      <c r="L76" s="127" t="s">
        <v>313</v>
      </c>
      <c r="M76" s="127"/>
      <c r="N76" s="127" t="s">
        <v>314</v>
      </c>
      <c r="O76" s="127">
        <v>7001126</v>
      </c>
      <c r="P76" s="127" t="s">
        <v>315</v>
      </c>
      <c r="Q76" s="127">
        <v>19805706600</v>
      </c>
      <c r="R76" s="127" t="s">
        <v>369</v>
      </c>
      <c r="S76" s="127" t="s">
        <v>370</v>
      </c>
      <c r="T76" s="127"/>
      <c r="U76" s="127" t="s">
        <v>371</v>
      </c>
      <c r="V76" s="127">
        <v>15224008917</v>
      </c>
      <c r="W76" s="127" t="s">
        <v>377</v>
      </c>
      <c r="X76" s="127" t="s">
        <v>378</v>
      </c>
      <c r="Y76" s="127" t="s">
        <v>382</v>
      </c>
      <c r="Z76" s="127" t="s">
        <v>383</v>
      </c>
      <c r="AA76" s="128">
        <v>1.12</v>
      </c>
      <c r="AB76" s="128">
        <v>0.9</v>
      </c>
      <c r="AC76" s="128">
        <v>0.9</v>
      </c>
      <c r="AD76" s="128"/>
      <c r="AE76" s="127" t="s">
        <v>384</v>
      </c>
      <c r="AF76" s="128"/>
      <c r="AG76" s="128"/>
      <c r="AH76" s="128"/>
      <c r="AI76" s="128"/>
      <c r="AJ76" s="128"/>
      <c r="AK76" s="128"/>
      <c r="AL76" s="128"/>
      <c r="AM76" s="128"/>
    </row>
    <row r="77" customHeight="1" spans="1:39">
      <c r="A77" s="127" t="s">
        <v>39</v>
      </c>
      <c r="B77" s="127" t="s">
        <v>40</v>
      </c>
      <c r="C77" s="127" t="s">
        <v>41</v>
      </c>
      <c r="D77" s="127" t="s">
        <v>368</v>
      </c>
      <c r="E77" s="127"/>
      <c r="F77" s="127" t="s">
        <v>43</v>
      </c>
      <c r="G77" s="127" t="s">
        <v>44</v>
      </c>
      <c r="H77" s="127" t="s">
        <v>45</v>
      </c>
      <c r="I77" s="127">
        <v>7001221</v>
      </c>
      <c r="J77" s="127" t="s">
        <v>46</v>
      </c>
      <c r="K77" s="127">
        <v>13656706121</v>
      </c>
      <c r="L77" s="127" t="s">
        <v>313</v>
      </c>
      <c r="M77" s="127"/>
      <c r="N77" s="127" t="s">
        <v>314</v>
      </c>
      <c r="O77" s="127">
        <v>7001126</v>
      </c>
      <c r="P77" s="127" t="s">
        <v>315</v>
      </c>
      <c r="Q77" s="127">
        <v>19805706600</v>
      </c>
      <c r="R77" s="127" t="s">
        <v>369</v>
      </c>
      <c r="S77" s="127" t="s">
        <v>370</v>
      </c>
      <c r="T77" s="127"/>
      <c r="U77" s="127" t="s">
        <v>371</v>
      </c>
      <c r="V77" s="127">
        <v>15224008917</v>
      </c>
      <c r="W77" s="127" t="s">
        <v>377</v>
      </c>
      <c r="X77" s="127" t="s">
        <v>378</v>
      </c>
      <c r="Y77" s="127" t="s">
        <v>385</v>
      </c>
      <c r="Z77" s="127" t="s">
        <v>386</v>
      </c>
      <c r="AA77" s="128">
        <v>3</v>
      </c>
      <c r="AB77" s="128">
        <v>2.97</v>
      </c>
      <c r="AC77" s="128">
        <v>2.98</v>
      </c>
      <c r="AD77" s="128"/>
      <c r="AE77" s="127" t="s">
        <v>387</v>
      </c>
      <c r="AF77" s="128"/>
      <c r="AG77" s="128"/>
      <c r="AH77" s="128"/>
      <c r="AI77" s="128"/>
      <c r="AJ77" s="128"/>
      <c r="AK77" s="128"/>
      <c r="AL77" s="128"/>
      <c r="AM77" s="128"/>
    </row>
    <row r="78" customHeight="1" spans="1:39">
      <c r="A78" s="127" t="s">
        <v>39</v>
      </c>
      <c r="B78" s="127" t="s">
        <v>40</v>
      </c>
      <c r="C78" s="127" t="s">
        <v>41</v>
      </c>
      <c r="D78" s="127" t="s">
        <v>368</v>
      </c>
      <c r="E78" s="127"/>
      <c r="F78" s="127" t="s">
        <v>43</v>
      </c>
      <c r="G78" s="127" t="s">
        <v>44</v>
      </c>
      <c r="H78" s="127" t="s">
        <v>45</v>
      </c>
      <c r="I78" s="127">
        <v>7001221</v>
      </c>
      <c r="J78" s="127" t="s">
        <v>46</v>
      </c>
      <c r="K78" s="127">
        <v>13656706121</v>
      </c>
      <c r="L78" s="127" t="s">
        <v>313</v>
      </c>
      <c r="M78" s="127"/>
      <c r="N78" s="127" t="s">
        <v>314</v>
      </c>
      <c r="O78" s="127">
        <v>7001126</v>
      </c>
      <c r="P78" s="127" t="s">
        <v>315</v>
      </c>
      <c r="Q78" s="127">
        <v>19805706600</v>
      </c>
      <c r="R78" s="127" t="s">
        <v>369</v>
      </c>
      <c r="S78" s="127" t="s">
        <v>370</v>
      </c>
      <c r="T78" s="127"/>
      <c r="U78" s="127" t="s">
        <v>371</v>
      </c>
      <c r="V78" s="127">
        <v>15224008917</v>
      </c>
      <c r="W78" s="127" t="s">
        <v>377</v>
      </c>
      <c r="X78" s="127" t="s">
        <v>378</v>
      </c>
      <c r="Y78" s="127" t="s">
        <v>388</v>
      </c>
      <c r="Z78" s="127" t="s">
        <v>389</v>
      </c>
      <c r="AA78" s="128">
        <v>1.8</v>
      </c>
      <c r="AB78" s="128">
        <v>1.95</v>
      </c>
      <c r="AC78" s="128">
        <v>1.27</v>
      </c>
      <c r="AD78" s="128"/>
      <c r="AE78" s="127" t="s">
        <v>390</v>
      </c>
      <c r="AF78" s="128"/>
      <c r="AG78" s="128"/>
      <c r="AH78" s="128"/>
      <c r="AI78" s="128"/>
      <c r="AJ78" s="128"/>
      <c r="AK78" s="128"/>
      <c r="AL78" s="128"/>
      <c r="AM78" s="128"/>
    </row>
    <row r="79" customHeight="1" spans="1:39">
      <c r="A79" s="127" t="s">
        <v>39</v>
      </c>
      <c r="B79" s="127" t="s">
        <v>40</v>
      </c>
      <c r="C79" s="127" t="s">
        <v>41</v>
      </c>
      <c r="D79" s="127" t="s">
        <v>368</v>
      </c>
      <c r="E79" s="127"/>
      <c r="F79" s="127" t="s">
        <v>43</v>
      </c>
      <c r="G79" s="127" t="s">
        <v>44</v>
      </c>
      <c r="H79" s="127" t="s">
        <v>45</v>
      </c>
      <c r="I79" s="127">
        <v>7001221</v>
      </c>
      <c r="J79" s="127" t="s">
        <v>46</v>
      </c>
      <c r="K79" s="127">
        <v>13656706121</v>
      </c>
      <c r="L79" s="127" t="s">
        <v>313</v>
      </c>
      <c r="M79" s="127"/>
      <c r="N79" s="127" t="s">
        <v>314</v>
      </c>
      <c r="O79" s="127">
        <v>7001126</v>
      </c>
      <c r="P79" s="127" t="s">
        <v>315</v>
      </c>
      <c r="Q79" s="127">
        <v>19805706600</v>
      </c>
      <c r="R79" s="127" t="s">
        <v>369</v>
      </c>
      <c r="S79" s="127" t="s">
        <v>370</v>
      </c>
      <c r="T79" s="127"/>
      <c r="U79" s="127" t="s">
        <v>371</v>
      </c>
      <c r="V79" s="127">
        <v>15224008917</v>
      </c>
      <c r="W79" s="127" t="s">
        <v>377</v>
      </c>
      <c r="X79" s="127" t="s">
        <v>378</v>
      </c>
      <c r="Y79" s="127" t="s">
        <v>391</v>
      </c>
      <c r="Z79" s="127" t="s">
        <v>392</v>
      </c>
      <c r="AA79" s="128">
        <v>2</v>
      </c>
      <c r="AB79" s="128">
        <v>2.3</v>
      </c>
      <c r="AC79" s="128">
        <v>0</v>
      </c>
      <c r="AD79" s="128"/>
      <c r="AE79" s="127" t="s">
        <v>393</v>
      </c>
      <c r="AF79" s="128"/>
      <c r="AG79" s="128"/>
      <c r="AH79" s="128"/>
      <c r="AI79" s="128"/>
      <c r="AJ79" s="128"/>
      <c r="AK79" s="128"/>
      <c r="AL79" s="128"/>
      <c r="AM79" s="128"/>
    </row>
    <row r="80" customHeight="1" spans="1:39">
      <c r="A80" s="127" t="s">
        <v>39</v>
      </c>
      <c r="B80" s="127" t="s">
        <v>40</v>
      </c>
      <c r="C80" s="127" t="s">
        <v>41</v>
      </c>
      <c r="D80" s="127" t="s">
        <v>368</v>
      </c>
      <c r="E80" s="127"/>
      <c r="F80" s="127" t="s">
        <v>43</v>
      </c>
      <c r="G80" s="127" t="s">
        <v>44</v>
      </c>
      <c r="H80" s="127" t="s">
        <v>45</v>
      </c>
      <c r="I80" s="127">
        <v>7001221</v>
      </c>
      <c r="J80" s="127" t="s">
        <v>46</v>
      </c>
      <c r="K80" s="127">
        <v>13656706121</v>
      </c>
      <c r="L80" s="127" t="s">
        <v>313</v>
      </c>
      <c r="M80" s="127"/>
      <c r="N80" s="127" t="s">
        <v>314</v>
      </c>
      <c r="O80" s="127">
        <v>7001126</v>
      </c>
      <c r="P80" s="127" t="s">
        <v>315</v>
      </c>
      <c r="Q80" s="127">
        <v>19805706600</v>
      </c>
      <c r="R80" s="127" t="s">
        <v>369</v>
      </c>
      <c r="S80" s="127" t="s">
        <v>370</v>
      </c>
      <c r="T80" s="127"/>
      <c r="U80" s="127" t="s">
        <v>371</v>
      </c>
      <c r="V80" s="127">
        <v>15224008917</v>
      </c>
      <c r="W80" s="127" t="s">
        <v>394</v>
      </c>
      <c r="X80" s="127" t="s">
        <v>395</v>
      </c>
      <c r="Y80" s="127" t="s">
        <v>396</v>
      </c>
      <c r="Z80" s="127" t="s">
        <v>397</v>
      </c>
      <c r="AA80" s="128">
        <v>273.43</v>
      </c>
      <c r="AB80" s="128">
        <v>43.28</v>
      </c>
      <c r="AC80" s="128">
        <v>165.67</v>
      </c>
      <c r="AD80" s="128"/>
      <c r="AE80" s="127" t="s">
        <v>398</v>
      </c>
      <c r="AF80" s="128"/>
      <c r="AG80" s="128"/>
      <c r="AH80" s="128"/>
      <c r="AI80" s="128"/>
      <c r="AJ80" s="128"/>
      <c r="AK80" s="128"/>
      <c r="AL80" s="128"/>
      <c r="AM80" s="128"/>
    </row>
    <row r="81" customHeight="1" spans="1:39">
      <c r="A81" s="127" t="s">
        <v>39</v>
      </c>
      <c r="B81" s="127" t="s">
        <v>40</v>
      </c>
      <c r="C81" s="127" t="s">
        <v>41</v>
      </c>
      <c r="D81" s="127" t="s">
        <v>368</v>
      </c>
      <c r="E81" s="127"/>
      <c r="F81" s="127" t="s">
        <v>43</v>
      </c>
      <c r="G81" s="127" t="s">
        <v>44</v>
      </c>
      <c r="H81" s="127" t="s">
        <v>45</v>
      </c>
      <c r="I81" s="127">
        <v>7001221</v>
      </c>
      <c r="J81" s="127" t="s">
        <v>46</v>
      </c>
      <c r="K81" s="127">
        <v>13656706121</v>
      </c>
      <c r="L81" s="127" t="s">
        <v>313</v>
      </c>
      <c r="M81" s="127"/>
      <c r="N81" s="127" t="s">
        <v>314</v>
      </c>
      <c r="O81" s="127">
        <v>7001126</v>
      </c>
      <c r="P81" s="127" t="s">
        <v>315</v>
      </c>
      <c r="Q81" s="127">
        <v>19805706600</v>
      </c>
      <c r="R81" s="127" t="s">
        <v>369</v>
      </c>
      <c r="S81" s="127" t="s">
        <v>370</v>
      </c>
      <c r="T81" s="127"/>
      <c r="U81" s="127" t="s">
        <v>371</v>
      </c>
      <c r="V81" s="127">
        <v>15224008917</v>
      </c>
      <c r="W81" s="127" t="s">
        <v>399</v>
      </c>
      <c r="X81" s="127" t="s">
        <v>400</v>
      </c>
      <c r="Y81" s="127" t="s">
        <v>401</v>
      </c>
      <c r="Z81" s="127" t="s">
        <v>402</v>
      </c>
      <c r="AA81" s="128">
        <v>273.43</v>
      </c>
      <c r="AB81" s="128">
        <v>132.82</v>
      </c>
      <c r="AC81" s="128">
        <v>0</v>
      </c>
      <c r="AD81" s="128"/>
      <c r="AE81" s="127" t="s">
        <v>398</v>
      </c>
      <c r="AF81" s="128"/>
      <c r="AG81" s="128"/>
      <c r="AH81" s="128"/>
      <c r="AI81" s="128"/>
      <c r="AJ81" s="128"/>
      <c r="AK81" s="128"/>
      <c r="AL81" s="128"/>
      <c r="AM81" s="128"/>
    </row>
    <row r="82" customHeight="1" spans="1:39">
      <c r="A82" s="127" t="s">
        <v>39</v>
      </c>
      <c r="B82" s="127" t="s">
        <v>40</v>
      </c>
      <c r="C82" s="127" t="s">
        <v>41</v>
      </c>
      <c r="D82" s="127" t="s">
        <v>368</v>
      </c>
      <c r="E82" s="127"/>
      <c r="F82" s="127" t="s">
        <v>43</v>
      </c>
      <c r="G82" s="127" t="s">
        <v>44</v>
      </c>
      <c r="H82" s="127" t="s">
        <v>45</v>
      </c>
      <c r="I82" s="127">
        <v>7001221</v>
      </c>
      <c r="J82" s="127" t="s">
        <v>46</v>
      </c>
      <c r="K82" s="127">
        <v>13656706121</v>
      </c>
      <c r="L82" s="127" t="s">
        <v>313</v>
      </c>
      <c r="M82" s="127"/>
      <c r="N82" s="127" t="s">
        <v>314</v>
      </c>
      <c r="O82" s="127">
        <v>7001126</v>
      </c>
      <c r="P82" s="127" t="s">
        <v>315</v>
      </c>
      <c r="Q82" s="127">
        <v>19805706600</v>
      </c>
      <c r="R82" s="127" t="s">
        <v>369</v>
      </c>
      <c r="S82" s="127" t="s">
        <v>370</v>
      </c>
      <c r="T82" s="127"/>
      <c r="U82" s="127" t="s">
        <v>371</v>
      </c>
      <c r="V82" s="127">
        <v>15224008917</v>
      </c>
      <c r="W82" s="127" t="s">
        <v>399</v>
      </c>
      <c r="X82" s="127" t="s">
        <v>400</v>
      </c>
      <c r="Y82" s="127" t="s">
        <v>403</v>
      </c>
      <c r="Z82" s="127" t="s">
        <v>404</v>
      </c>
      <c r="AA82" s="128">
        <v>25.55</v>
      </c>
      <c r="AB82" s="128">
        <v>25.4</v>
      </c>
      <c r="AC82" s="128">
        <v>25.4</v>
      </c>
      <c r="AD82" s="128"/>
      <c r="AE82" s="127" t="s">
        <v>405</v>
      </c>
      <c r="AF82" s="128"/>
      <c r="AG82" s="128"/>
      <c r="AH82" s="128"/>
      <c r="AI82" s="128"/>
      <c r="AJ82" s="128"/>
      <c r="AK82" s="128"/>
      <c r="AL82" s="128"/>
      <c r="AM82" s="128"/>
    </row>
    <row r="83" customHeight="1" spans="1:39">
      <c r="A83" s="127" t="s">
        <v>39</v>
      </c>
      <c r="B83" s="127" t="s">
        <v>40</v>
      </c>
      <c r="C83" s="127" t="s">
        <v>41</v>
      </c>
      <c r="D83" s="127" t="s">
        <v>368</v>
      </c>
      <c r="E83" s="127"/>
      <c r="F83" s="127" t="s">
        <v>43</v>
      </c>
      <c r="G83" s="127" t="s">
        <v>44</v>
      </c>
      <c r="H83" s="127" t="s">
        <v>45</v>
      </c>
      <c r="I83" s="127">
        <v>7001221</v>
      </c>
      <c r="J83" s="127" t="s">
        <v>46</v>
      </c>
      <c r="K83" s="127">
        <v>13656706121</v>
      </c>
      <c r="L83" s="127" t="s">
        <v>313</v>
      </c>
      <c r="M83" s="127"/>
      <c r="N83" s="127" t="s">
        <v>314</v>
      </c>
      <c r="O83" s="127">
        <v>7001126</v>
      </c>
      <c r="P83" s="127" t="s">
        <v>315</v>
      </c>
      <c r="Q83" s="127">
        <v>19805706600</v>
      </c>
      <c r="R83" s="127" t="s">
        <v>369</v>
      </c>
      <c r="S83" s="127" t="s">
        <v>370</v>
      </c>
      <c r="T83" s="127"/>
      <c r="U83" s="127" t="s">
        <v>371</v>
      </c>
      <c r="V83" s="127">
        <v>15224008917</v>
      </c>
      <c r="W83" s="127" t="s">
        <v>399</v>
      </c>
      <c r="X83" s="127" t="s">
        <v>400</v>
      </c>
      <c r="Y83" s="127" t="s">
        <v>406</v>
      </c>
      <c r="Z83" s="127" t="s">
        <v>407</v>
      </c>
      <c r="AA83" s="128">
        <v>0.12</v>
      </c>
      <c r="AB83" s="128">
        <v>0.12</v>
      </c>
      <c r="AC83" s="128">
        <v>0.12</v>
      </c>
      <c r="AD83" s="128"/>
      <c r="AE83" s="127" t="s">
        <v>408</v>
      </c>
      <c r="AF83" s="128"/>
      <c r="AG83" s="128"/>
      <c r="AH83" s="128"/>
      <c r="AI83" s="128"/>
      <c r="AJ83" s="128"/>
      <c r="AK83" s="128"/>
      <c r="AL83" s="128"/>
      <c r="AM83" s="128"/>
    </row>
    <row r="84" customHeight="1" spans="1:39">
      <c r="A84" s="127" t="s">
        <v>39</v>
      </c>
      <c r="B84" s="127" t="s">
        <v>40</v>
      </c>
      <c r="C84" s="127" t="s">
        <v>41</v>
      </c>
      <c r="D84" s="127" t="s">
        <v>368</v>
      </c>
      <c r="E84" s="127"/>
      <c r="F84" s="127" t="s">
        <v>43</v>
      </c>
      <c r="G84" s="127" t="s">
        <v>44</v>
      </c>
      <c r="H84" s="127" t="s">
        <v>45</v>
      </c>
      <c r="I84" s="127">
        <v>7001221</v>
      </c>
      <c r="J84" s="127" t="s">
        <v>46</v>
      </c>
      <c r="K84" s="127">
        <v>13656706121</v>
      </c>
      <c r="L84" s="127" t="s">
        <v>313</v>
      </c>
      <c r="M84" s="127"/>
      <c r="N84" s="127" t="s">
        <v>314</v>
      </c>
      <c r="O84" s="127">
        <v>7001126</v>
      </c>
      <c r="P84" s="127" t="s">
        <v>315</v>
      </c>
      <c r="Q84" s="127">
        <v>19805706600</v>
      </c>
      <c r="R84" s="127" t="s">
        <v>369</v>
      </c>
      <c r="S84" s="127" t="s">
        <v>370</v>
      </c>
      <c r="T84" s="127"/>
      <c r="U84" s="127" t="s">
        <v>371</v>
      </c>
      <c r="V84" s="127">
        <v>15224008917</v>
      </c>
      <c r="W84" s="127" t="s">
        <v>409</v>
      </c>
      <c r="X84" s="127" t="s">
        <v>410</v>
      </c>
      <c r="Y84" s="127" t="s">
        <v>411</v>
      </c>
      <c r="Z84" s="127" t="s">
        <v>412</v>
      </c>
      <c r="AA84" s="128">
        <v>273.43</v>
      </c>
      <c r="AB84" s="128">
        <v>62.09</v>
      </c>
      <c r="AC84" s="128">
        <v>48.35</v>
      </c>
      <c r="AD84" s="128"/>
      <c r="AE84" s="127" t="s">
        <v>398</v>
      </c>
      <c r="AF84" s="128"/>
      <c r="AG84" s="128"/>
      <c r="AH84" s="128"/>
      <c r="AI84" s="128"/>
      <c r="AJ84" s="128"/>
      <c r="AK84" s="128"/>
      <c r="AL84" s="128"/>
      <c r="AM84" s="128"/>
    </row>
    <row r="85" customHeight="1" spans="1:39">
      <c r="A85" s="127" t="s">
        <v>39</v>
      </c>
      <c r="B85" s="127" t="s">
        <v>40</v>
      </c>
      <c r="C85" s="127" t="s">
        <v>41</v>
      </c>
      <c r="D85" s="127" t="s">
        <v>368</v>
      </c>
      <c r="E85" s="127"/>
      <c r="F85" s="127" t="s">
        <v>43</v>
      </c>
      <c r="G85" s="127" t="s">
        <v>44</v>
      </c>
      <c r="H85" s="127" t="s">
        <v>45</v>
      </c>
      <c r="I85" s="127">
        <v>7001221</v>
      </c>
      <c r="J85" s="127" t="s">
        <v>46</v>
      </c>
      <c r="K85" s="127">
        <v>13656706121</v>
      </c>
      <c r="L85" s="127" t="s">
        <v>313</v>
      </c>
      <c r="M85" s="127"/>
      <c r="N85" s="127" t="s">
        <v>314</v>
      </c>
      <c r="O85" s="127">
        <v>7001126</v>
      </c>
      <c r="P85" s="127" t="s">
        <v>315</v>
      </c>
      <c r="Q85" s="127">
        <v>19805706600</v>
      </c>
      <c r="R85" s="127" t="s">
        <v>369</v>
      </c>
      <c r="S85" s="127" t="s">
        <v>370</v>
      </c>
      <c r="T85" s="127"/>
      <c r="U85" s="127" t="s">
        <v>371</v>
      </c>
      <c r="V85" s="127">
        <v>15224008917</v>
      </c>
      <c r="W85" s="127" t="s">
        <v>409</v>
      </c>
      <c r="X85" s="127" t="s">
        <v>410</v>
      </c>
      <c r="Y85" s="127" t="s">
        <v>413</v>
      </c>
      <c r="Z85" s="127" t="s">
        <v>414</v>
      </c>
      <c r="AA85" s="128">
        <v>0.666</v>
      </c>
      <c r="AB85" s="128">
        <v>0.65</v>
      </c>
      <c r="AC85" s="128">
        <v>0.65</v>
      </c>
      <c r="AD85" s="128"/>
      <c r="AE85" s="127" t="s">
        <v>415</v>
      </c>
      <c r="AF85" s="128"/>
      <c r="AG85" s="128"/>
      <c r="AH85" s="128"/>
      <c r="AI85" s="128"/>
      <c r="AJ85" s="128"/>
      <c r="AK85" s="128"/>
      <c r="AL85" s="128"/>
      <c r="AM85" s="128"/>
    </row>
    <row r="86" customHeight="1" spans="1:39">
      <c r="A86" s="127" t="s">
        <v>39</v>
      </c>
      <c r="B86" s="127" t="s">
        <v>40</v>
      </c>
      <c r="C86" s="127" t="s">
        <v>41</v>
      </c>
      <c r="D86" s="127" t="s">
        <v>368</v>
      </c>
      <c r="E86" s="127"/>
      <c r="F86" s="127" t="s">
        <v>43</v>
      </c>
      <c r="G86" s="127" t="s">
        <v>44</v>
      </c>
      <c r="H86" s="127" t="s">
        <v>45</v>
      </c>
      <c r="I86" s="127">
        <v>7001221</v>
      </c>
      <c r="J86" s="127" t="s">
        <v>46</v>
      </c>
      <c r="K86" s="127">
        <v>13656706121</v>
      </c>
      <c r="L86" s="127" t="s">
        <v>313</v>
      </c>
      <c r="M86" s="127"/>
      <c r="N86" s="127" t="s">
        <v>314</v>
      </c>
      <c r="O86" s="127">
        <v>7001126</v>
      </c>
      <c r="P86" s="127" t="s">
        <v>315</v>
      </c>
      <c r="Q86" s="127">
        <v>19805706600</v>
      </c>
      <c r="R86" s="127" t="s">
        <v>369</v>
      </c>
      <c r="S86" s="127" t="s">
        <v>370</v>
      </c>
      <c r="T86" s="127"/>
      <c r="U86" s="127" t="s">
        <v>371</v>
      </c>
      <c r="V86" s="127">
        <v>15224008917</v>
      </c>
      <c r="W86" s="127" t="s">
        <v>409</v>
      </c>
      <c r="X86" s="127" t="s">
        <v>410</v>
      </c>
      <c r="Y86" s="127" t="s">
        <v>416</v>
      </c>
      <c r="Z86" s="127" t="s">
        <v>417</v>
      </c>
      <c r="AA86" s="128">
        <v>0.92</v>
      </c>
      <c r="AB86" s="128">
        <v>0.92</v>
      </c>
      <c r="AC86" s="128">
        <v>0.92</v>
      </c>
      <c r="AD86" s="128"/>
      <c r="AE86" s="127" t="s">
        <v>418</v>
      </c>
      <c r="AF86" s="128"/>
      <c r="AG86" s="128"/>
      <c r="AH86" s="128"/>
      <c r="AI86" s="128"/>
      <c r="AJ86" s="128"/>
      <c r="AK86" s="128"/>
      <c r="AL86" s="128"/>
      <c r="AM86" s="128"/>
    </row>
    <row r="87" customHeight="1" spans="1:39">
      <c r="A87" s="127" t="s">
        <v>39</v>
      </c>
      <c r="B87" s="127" t="s">
        <v>40</v>
      </c>
      <c r="C87" s="127" t="s">
        <v>41</v>
      </c>
      <c r="D87" s="127" t="s">
        <v>368</v>
      </c>
      <c r="E87" s="127"/>
      <c r="F87" s="127" t="s">
        <v>43</v>
      </c>
      <c r="G87" s="127" t="s">
        <v>44</v>
      </c>
      <c r="H87" s="127" t="s">
        <v>45</v>
      </c>
      <c r="I87" s="127">
        <v>7001221</v>
      </c>
      <c r="J87" s="127" t="s">
        <v>46</v>
      </c>
      <c r="K87" s="127">
        <v>13656706121</v>
      </c>
      <c r="L87" s="127" t="s">
        <v>313</v>
      </c>
      <c r="M87" s="127"/>
      <c r="N87" s="127" t="s">
        <v>314</v>
      </c>
      <c r="O87" s="127">
        <v>7001126</v>
      </c>
      <c r="P87" s="127" t="s">
        <v>315</v>
      </c>
      <c r="Q87" s="127">
        <v>19805706600</v>
      </c>
      <c r="R87" s="127" t="s">
        <v>369</v>
      </c>
      <c r="S87" s="127" t="s">
        <v>370</v>
      </c>
      <c r="T87" s="127"/>
      <c r="U87" s="127" t="s">
        <v>371</v>
      </c>
      <c r="V87" s="127">
        <v>15224008917</v>
      </c>
      <c r="W87" s="127" t="s">
        <v>419</v>
      </c>
      <c r="X87" s="127" t="s">
        <v>420</v>
      </c>
      <c r="Y87" s="127" t="s">
        <v>421</v>
      </c>
      <c r="Z87" s="127" t="s">
        <v>422</v>
      </c>
      <c r="AA87" s="128">
        <v>273.43</v>
      </c>
      <c r="AB87" s="128">
        <v>13.78</v>
      </c>
      <c r="AC87" s="128">
        <v>13.78</v>
      </c>
      <c r="AD87" s="128"/>
      <c r="AE87" s="127" t="s">
        <v>398</v>
      </c>
      <c r="AF87" s="128"/>
      <c r="AG87" s="128"/>
      <c r="AH87" s="128"/>
      <c r="AI87" s="128"/>
      <c r="AJ87" s="128"/>
      <c r="AK87" s="128"/>
      <c r="AL87" s="128"/>
      <c r="AM87" s="128"/>
    </row>
    <row r="88" customHeight="1" spans="1:39">
      <c r="A88" s="127" t="s">
        <v>39</v>
      </c>
      <c r="B88" s="127" t="s">
        <v>40</v>
      </c>
      <c r="C88" s="127" t="s">
        <v>41</v>
      </c>
      <c r="D88" s="127" t="s">
        <v>368</v>
      </c>
      <c r="E88" s="127"/>
      <c r="F88" s="127" t="s">
        <v>43</v>
      </c>
      <c r="G88" s="127" t="s">
        <v>44</v>
      </c>
      <c r="H88" s="127" t="s">
        <v>45</v>
      </c>
      <c r="I88" s="127">
        <v>7001221</v>
      </c>
      <c r="J88" s="127" t="s">
        <v>46</v>
      </c>
      <c r="K88" s="127">
        <v>13656706121</v>
      </c>
      <c r="L88" s="127" t="s">
        <v>313</v>
      </c>
      <c r="M88" s="127"/>
      <c r="N88" s="127" t="s">
        <v>314</v>
      </c>
      <c r="O88" s="127">
        <v>7001126</v>
      </c>
      <c r="P88" s="127" t="s">
        <v>315</v>
      </c>
      <c r="Q88" s="127">
        <v>19805706600</v>
      </c>
      <c r="R88" s="127" t="s">
        <v>369</v>
      </c>
      <c r="S88" s="127" t="s">
        <v>370</v>
      </c>
      <c r="T88" s="127"/>
      <c r="U88" s="127" t="s">
        <v>371</v>
      </c>
      <c r="V88" s="127">
        <v>15224008917</v>
      </c>
      <c r="W88" s="127" t="s">
        <v>423</v>
      </c>
      <c r="X88" s="127" t="s">
        <v>424</v>
      </c>
      <c r="Y88" s="127" t="s">
        <v>425</v>
      </c>
      <c r="Z88" s="127" t="s">
        <v>426</v>
      </c>
      <c r="AA88" s="128">
        <v>15</v>
      </c>
      <c r="AB88" s="128">
        <v>5.88</v>
      </c>
      <c r="AC88" s="128">
        <v>5.88</v>
      </c>
      <c r="AD88" s="128"/>
      <c r="AE88" s="127" t="s">
        <v>427</v>
      </c>
      <c r="AF88" s="128"/>
      <c r="AG88" s="128"/>
      <c r="AH88" s="128"/>
      <c r="AI88" s="128"/>
      <c r="AJ88" s="128"/>
      <c r="AK88" s="128"/>
      <c r="AL88" s="128"/>
      <c r="AM88" s="128"/>
    </row>
    <row r="89" customHeight="1" spans="1:39">
      <c r="A89" s="127" t="s">
        <v>39</v>
      </c>
      <c r="B89" s="127" t="s">
        <v>40</v>
      </c>
      <c r="C89" s="127" t="s">
        <v>41</v>
      </c>
      <c r="D89" s="127" t="s">
        <v>368</v>
      </c>
      <c r="E89" s="127"/>
      <c r="F89" s="127" t="s">
        <v>43</v>
      </c>
      <c r="G89" s="127" t="s">
        <v>44</v>
      </c>
      <c r="H89" s="127" t="s">
        <v>45</v>
      </c>
      <c r="I89" s="127">
        <v>7001221</v>
      </c>
      <c r="J89" s="127" t="s">
        <v>46</v>
      </c>
      <c r="K89" s="127">
        <v>13656706121</v>
      </c>
      <c r="L89" s="127" t="s">
        <v>313</v>
      </c>
      <c r="M89" s="127"/>
      <c r="N89" s="127" t="s">
        <v>314</v>
      </c>
      <c r="O89" s="127">
        <v>7001126</v>
      </c>
      <c r="P89" s="127" t="s">
        <v>315</v>
      </c>
      <c r="Q89" s="127">
        <v>19805706600</v>
      </c>
      <c r="R89" s="127" t="s">
        <v>369</v>
      </c>
      <c r="S89" s="127" t="s">
        <v>370</v>
      </c>
      <c r="T89" s="127"/>
      <c r="U89" s="127" t="s">
        <v>371</v>
      </c>
      <c r="V89" s="127">
        <v>15224008917</v>
      </c>
      <c r="W89" s="127" t="s">
        <v>428</v>
      </c>
      <c r="X89" s="127" t="s">
        <v>429</v>
      </c>
      <c r="Y89" s="127" t="s">
        <v>430</v>
      </c>
      <c r="Z89" s="127" t="s">
        <v>431</v>
      </c>
      <c r="AA89" s="128">
        <v>273.43</v>
      </c>
      <c r="AB89" s="128">
        <v>4.48</v>
      </c>
      <c r="AC89" s="128">
        <v>4.74</v>
      </c>
      <c r="AD89" s="128"/>
      <c r="AE89" s="127" t="s">
        <v>398</v>
      </c>
      <c r="AF89" s="128"/>
      <c r="AG89" s="128"/>
      <c r="AH89" s="128"/>
      <c r="AI89" s="128"/>
      <c r="AJ89" s="128"/>
      <c r="AK89" s="128"/>
      <c r="AL89" s="128"/>
      <c r="AM89" s="128"/>
    </row>
    <row r="90" customHeight="1" spans="1:39">
      <c r="A90" s="127" t="s">
        <v>39</v>
      </c>
      <c r="B90" s="127" t="s">
        <v>40</v>
      </c>
      <c r="C90" s="127" t="s">
        <v>41</v>
      </c>
      <c r="D90" s="127" t="s">
        <v>368</v>
      </c>
      <c r="E90" s="127"/>
      <c r="F90" s="127" t="s">
        <v>43</v>
      </c>
      <c r="G90" s="127" t="s">
        <v>44</v>
      </c>
      <c r="H90" s="127" t="s">
        <v>45</v>
      </c>
      <c r="I90" s="127">
        <v>7001221</v>
      </c>
      <c r="J90" s="127" t="s">
        <v>46</v>
      </c>
      <c r="K90" s="127">
        <v>13656706121</v>
      </c>
      <c r="L90" s="127" t="s">
        <v>313</v>
      </c>
      <c r="M90" s="127"/>
      <c r="N90" s="127" t="s">
        <v>314</v>
      </c>
      <c r="O90" s="127">
        <v>7001126</v>
      </c>
      <c r="P90" s="127" t="s">
        <v>315</v>
      </c>
      <c r="Q90" s="127">
        <v>19805706600</v>
      </c>
      <c r="R90" s="127" t="s">
        <v>369</v>
      </c>
      <c r="S90" s="127" t="s">
        <v>370</v>
      </c>
      <c r="T90" s="127"/>
      <c r="U90" s="127" t="s">
        <v>371</v>
      </c>
      <c r="V90" s="127">
        <v>15224008917</v>
      </c>
      <c r="W90" s="127" t="s">
        <v>428</v>
      </c>
      <c r="X90" s="127" t="s">
        <v>429</v>
      </c>
      <c r="Y90" s="127" t="s">
        <v>432</v>
      </c>
      <c r="Z90" s="127" t="s">
        <v>433</v>
      </c>
      <c r="AA90" s="128">
        <v>0.45</v>
      </c>
      <c r="AB90" s="128">
        <v>0.45</v>
      </c>
      <c r="AC90" s="128">
        <v>0.49</v>
      </c>
      <c r="AD90" s="128"/>
      <c r="AE90" s="127" t="s">
        <v>434</v>
      </c>
      <c r="AF90" s="128"/>
      <c r="AG90" s="128"/>
      <c r="AH90" s="128"/>
      <c r="AI90" s="128"/>
      <c r="AJ90" s="128"/>
      <c r="AK90" s="128"/>
      <c r="AL90" s="128"/>
      <c r="AM90" s="128"/>
    </row>
    <row r="91" customHeight="1" spans="1:39">
      <c r="A91" s="127" t="s">
        <v>39</v>
      </c>
      <c r="B91" s="127" t="s">
        <v>40</v>
      </c>
      <c r="C91" s="127" t="s">
        <v>41</v>
      </c>
      <c r="D91" s="127" t="s">
        <v>368</v>
      </c>
      <c r="E91" s="127"/>
      <c r="F91" s="127" t="s">
        <v>43</v>
      </c>
      <c r="G91" s="127" t="s">
        <v>44</v>
      </c>
      <c r="H91" s="127" t="s">
        <v>45</v>
      </c>
      <c r="I91" s="127">
        <v>7001221</v>
      </c>
      <c r="J91" s="127" t="s">
        <v>46</v>
      </c>
      <c r="K91" s="127">
        <v>13656706121</v>
      </c>
      <c r="L91" s="127" t="s">
        <v>313</v>
      </c>
      <c r="M91" s="127"/>
      <c r="N91" s="127" t="s">
        <v>314</v>
      </c>
      <c r="O91" s="127">
        <v>7001126</v>
      </c>
      <c r="P91" s="127" t="s">
        <v>315</v>
      </c>
      <c r="Q91" s="127">
        <v>19805706600</v>
      </c>
      <c r="R91" s="127" t="s">
        <v>369</v>
      </c>
      <c r="S91" s="127" t="s">
        <v>370</v>
      </c>
      <c r="T91" s="127"/>
      <c r="U91" s="127" t="s">
        <v>371</v>
      </c>
      <c r="V91" s="127">
        <v>15224008917</v>
      </c>
      <c r="W91" s="127" t="s">
        <v>428</v>
      </c>
      <c r="X91" s="127" t="s">
        <v>429</v>
      </c>
      <c r="Y91" s="127" t="s">
        <v>435</v>
      </c>
      <c r="Z91" s="127" t="s">
        <v>436</v>
      </c>
      <c r="AA91" s="128">
        <v>0.5</v>
      </c>
      <c r="AB91" s="128">
        <v>0.5</v>
      </c>
      <c r="AC91" s="128">
        <v>0.5</v>
      </c>
      <c r="AD91" s="128"/>
      <c r="AE91" s="127" t="s">
        <v>437</v>
      </c>
      <c r="AF91" s="128"/>
      <c r="AG91" s="128"/>
      <c r="AH91" s="128"/>
      <c r="AI91" s="128"/>
      <c r="AJ91" s="128"/>
      <c r="AK91" s="128"/>
      <c r="AL91" s="128"/>
      <c r="AM91" s="128"/>
    </row>
    <row r="92" customHeight="1" spans="1:39">
      <c r="A92" s="127" t="s">
        <v>39</v>
      </c>
      <c r="B92" s="127" t="s">
        <v>40</v>
      </c>
      <c r="C92" s="127" t="s">
        <v>41</v>
      </c>
      <c r="D92" s="127" t="s">
        <v>368</v>
      </c>
      <c r="E92" s="127"/>
      <c r="F92" s="127" t="s">
        <v>43</v>
      </c>
      <c r="G92" s="127" t="s">
        <v>44</v>
      </c>
      <c r="H92" s="127" t="s">
        <v>45</v>
      </c>
      <c r="I92" s="127">
        <v>7001221</v>
      </c>
      <c r="J92" s="127" t="s">
        <v>46</v>
      </c>
      <c r="K92" s="127">
        <v>13656706121</v>
      </c>
      <c r="L92" s="127" t="s">
        <v>313</v>
      </c>
      <c r="M92" s="127"/>
      <c r="N92" s="127" t="s">
        <v>314</v>
      </c>
      <c r="O92" s="127">
        <v>7001126</v>
      </c>
      <c r="P92" s="127" t="s">
        <v>315</v>
      </c>
      <c r="Q92" s="127">
        <v>19805706600</v>
      </c>
      <c r="R92" s="127" t="s">
        <v>369</v>
      </c>
      <c r="S92" s="127" t="s">
        <v>370</v>
      </c>
      <c r="T92" s="127"/>
      <c r="U92" s="127" t="s">
        <v>371</v>
      </c>
      <c r="V92" s="127">
        <v>15224008917</v>
      </c>
      <c r="W92" s="127" t="s">
        <v>428</v>
      </c>
      <c r="X92" s="127" t="s">
        <v>429</v>
      </c>
      <c r="Y92" s="127" t="s">
        <v>438</v>
      </c>
      <c r="Z92" s="127" t="s">
        <v>439</v>
      </c>
      <c r="AA92" s="128">
        <v>10</v>
      </c>
      <c r="AB92" s="128">
        <v>6.31</v>
      </c>
      <c r="AC92" s="128">
        <v>6.31</v>
      </c>
      <c r="AD92" s="128"/>
      <c r="AE92" s="127" t="s">
        <v>440</v>
      </c>
      <c r="AF92" s="128"/>
      <c r="AG92" s="128"/>
      <c r="AH92" s="128"/>
      <c r="AI92" s="128"/>
      <c r="AJ92" s="128"/>
      <c r="AK92" s="128"/>
      <c r="AL92" s="128"/>
      <c r="AM92" s="128"/>
    </row>
    <row r="93" customHeight="1" spans="1:39">
      <c r="A93" s="127" t="s">
        <v>39</v>
      </c>
      <c r="B93" s="127" t="s">
        <v>40</v>
      </c>
      <c r="C93" s="127" t="s">
        <v>41</v>
      </c>
      <c r="D93" s="127" t="s">
        <v>368</v>
      </c>
      <c r="E93" s="127"/>
      <c r="F93" s="127" t="s">
        <v>43</v>
      </c>
      <c r="G93" s="127" t="s">
        <v>44</v>
      </c>
      <c r="H93" s="127" t="s">
        <v>45</v>
      </c>
      <c r="I93" s="127">
        <v>7001221</v>
      </c>
      <c r="J93" s="127" t="s">
        <v>46</v>
      </c>
      <c r="K93" s="127">
        <v>13656706121</v>
      </c>
      <c r="L93" s="127" t="s">
        <v>313</v>
      </c>
      <c r="M93" s="127"/>
      <c r="N93" s="127" t="s">
        <v>314</v>
      </c>
      <c r="O93" s="127">
        <v>7001126</v>
      </c>
      <c r="P93" s="127" t="s">
        <v>315</v>
      </c>
      <c r="Q93" s="127">
        <v>19805706600</v>
      </c>
      <c r="R93" s="127" t="s">
        <v>369</v>
      </c>
      <c r="S93" s="127" t="s">
        <v>370</v>
      </c>
      <c r="T93" s="127"/>
      <c r="U93" s="127" t="s">
        <v>371</v>
      </c>
      <c r="V93" s="127">
        <v>15224008917</v>
      </c>
      <c r="W93" s="127" t="s">
        <v>428</v>
      </c>
      <c r="X93" s="127" t="s">
        <v>429</v>
      </c>
      <c r="Y93" s="127" t="s">
        <v>441</v>
      </c>
      <c r="Z93" s="127" t="s">
        <v>442</v>
      </c>
      <c r="AA93" s="128">
        <v>0.1875</v>
      </c>
      <c r="AB93" s="128">
        <v>0.17</v>
      </c>
      <c r="AC93" s="128">
        <v>0.17</v>
      </c>
      <c r="AD93" s="128"/>
      <c r="AE93" s="127" t="s">
        <v>443</v>
      </c>
      <c r="AF93" s="128"/>
      <c r="AG93" s="128"/>
      <c r="AH93" s="128"/>
      <c r="AI93" s="128"/>
      <c r="AJ93" s="128"/>
      <c r="AK93" s="128"/>
      <c r="AL93" s="128"/>
      <c r="AM93" s="128"/>
    </row>
    <row r="94" customHeight="1" spans="1:39">
      <c r="A94" s="127" t="s">
        <v>39</v>
      </c>
      <c r="B94" s="127" t="s">
        <v>40</v>
      </c>
      <c r="C94" s="127" t="s">
        <v>41</v>
      </c>
      <c r="D94" s="127" t="s">
        <v>368</v>
      </c>
      <c r="E94" s="127"/>
      <c r="F94" s="127" t="s">
        <v>43</v>
      </c>
      <c r="G94" s="127" t="s">
        <v>44</v>
      </c>
      <c r="H94" s="127" t="s">
        <v>45</v>
      </c>
      <c r="I94" s="127">
        <v>7001221</v>
      </c>
      <c r="J94" s="127" t="s">
        <v>46</v>
      </c>
      <c r="K94" s="127">
        <v>13656706121</v>
      </c>
      <c r="L94" s="127" t="s">
        <v>313</v>
      </c>
      <c r="M94" s="127"/>
      <c r="N94" s="127" t="s">
        <v>314</v>
      </c>
      <c r="O94" s="127">
        <v>7001126</v>
      </c>
      <c r="P94" s="127" t="s">
        <v>315</v>
      </c>
      <c r="Q94" s="127">
        <v>19805706600</v>
      </c>
      <c r="R94" s="127" t="s">
        <v>369</v>
      </c>
      <c r="S94" s="127" t="s">
        <v>370</v>
      </c>
      <c r="T94" s="127"/>
      <c r="U94" s="127" t="s">
        <v>371</v>
      </c>
      <c r="V94" s="127">
        <v>15224008917</v>
      </c>
      <c r="W94" s="127" t="s">
        <v>444</v>
      </c>
      <c r="X94" s="127" t="s">
        <v>445</v>
      </c>
      <c r="Y94" s="127" t="s">
        <v>446</v>
      </c>
      <c r="Z94" s="127" t="s">
        <v>447</v>
      </c>
      <c r="AA94" s="128">
        <v>5.035</v>
      </c>
      <c r="AB94" s="128">
        <v>5.03</v>
      </c>
      <c r="AC94" s="128">
        <v>5.03</v>
      </c>
      <c r="AD94" s="128"/>
      <c r="AE94" s="127" t="s">
        <v>448</v>
      </c>
      <c r="AF94" s="128"/>
      <c r="AG94" s="128"/>
      <c r="AH94" s="128"/>
      <c r="AI94" s="128"/>
      <c r="AJ94" s="128"/>
      <c r="AK94" s="128"/>
      <c r="AL94" s="128"/>
      <c r="AM94" s="128"/>
    </row>
    <row r="95" customHeight="1" spans="1:39">
      <c r="A95" s="127" t="s">
        <v>39</v>
      </c>
      <c r="B95" s="127" t="s">
        <v>40</v>
      </c>
      <c r="C95" s="127" t="s">
        <v>41</v>
      </c>
      <c r="D95" s="127" t="s">
        <v>368</v>
      </c>
      <c r="E95" s="127"/>
      <c r="F95" s="127" t="s">
        <v>43</v>
      </c>
      <c r="G95" s="127" t="s">
        <v>44</v>
      </c>
      <c r="H95" s="127" t="s">
        <v>45</v>
      </c>
      <c r="I95" s="127">
        <v>7001221</v>
      </c>
      <c r="J95" s="127" t="s">
        <v>46</v>
      </c>
      <c r="K95" s="127">
        <v>13656706121</v>
      </c>
      <c r="L95" s="127" t="s">
        <v>313</v>
      </c>
      <c r="M95" s="127"/>
      <c r="N95" s="127" t="s">
        <v>314</v>
      </c>
      <c r="O95" s="127">
        <v>7001126</v>
      </c>
      <c r="P95" s="127" t="s">
        <v>315</v>
      </c>
      <c r="Q95" s="127">
        <v>19805706600</v>
      </c>
      <c r="R95" s="127" t="s">
        <v>369</v>
      </c>
      <c r="S95" s="127" t="s">
        <v>370</v>
      </c>
      <c r="T95" s="127"/>
      <c r="U95" s="127" t="s">
        <v>371</v>
      </c>
      <c r="V95" s="127">
        <v>15224008917</v>
      </c>
      <c r="W95" s="127" t="s">
        <v>449</v>
      </c>
      <c r="X95" s="127" t="s">
        <v>450</v>
      </c>
      <c r="Y95" s="127" t="s">
        <v>451</v>
      </c>
      <c r="Z95" s="127" t="s">
        <v>452</v>
      </c>
      <c r="AA95" s="128">
        <v>273.43</v>
      </c>
      <c r="AB95" s="128">
        <v>15.05</v>
      </c>
      <c r="AC95" s="128">
        <v>14.97</v>
      </c>
      <c r="AD95" s="128"/>
      <c r="AE95" s="127" t="s">
        <v>398</v>
      </c>
      <c r="AF95" s="128"/>
      <c r="AG95" s="128"/>
      <c r="AH95" s="128"/>
      <c r="AI95" s="128"/>
      <c r="AJ95" s="128"/>
      <c r="AK95" s="128"/>
      <c r="AL95" s="128"/>
      <c r="AM95" s="128"/>
    </row>
    <row r="96" customHeight="1" spans="1:39">
      <c r="A96" s="127" t="s">
        <v>39</v>
      </c>
      <c r="B96" s="127" t="s">
        <v>40</v>
      </c>
      <c r="C96" s="127" t="s">
        <v>41</v>
      </c>
      <c r="D96" s="127" t="s">
        <v>368</v>
      </c>
      <c r="E96" s="127"/>
      <c r="F96" s="127" t="s">
        <v>43</v>
      </c>
      <c r="G96" s="127" t="s">
        <v>44</v>
      </c>
      <c r="H96" s="127" t="s">
        <v>45</v>
      </c>
      <c r="I96" s="127">
        <v>7001221</v>
      </c>
      <c r="J96" s="127" t="s">
        <v>46</v>
      </c>
      <c r="K96" s="127">
        <v>13656706121</v>
      </c>
      <c r="L96" s="127" t="s">
        <v>313</v>
      </c>
      <c r="M96" s="127"/>
      <c r="N96" s="127" t="s">
        <v>314</v>
      </c>
      <c r="O96" s="127">
        <v>7001126</v>
      </c>
      <c r="P96" s="127" t="s">
        <v>315</v>
      </c>
      <c r="Q96" s="127">
        <v>19805706600</v>
      </c>
      <c r="R96" s="127" t="s">
        <v>369</v>
      </c>
      <c r="S96" s="127" t="s">
        <v>370</v>
      </c>
      <c r="T96" s="127"/>
      <c r="U96" s="127" t="s">
        <v>371</v>
      </c>
      <c r="V96" s="127">
        <v>15224008917</v>
      </c>
      <c r="W96" s="127" t="s">
        <v>449</v>
      </c>
      <c r="X96" s="127" t="s">
        <v>450</v>
      </c>
      <c r="Y96" s="127" t="s">
        <v>453</v>
      </c>
      <c r="Z96" s="127" t="s">
        <v>454</v>
      </c>
      <c r="AA96" s="128">
        <v>3.5</v>
      </c>
      <c r="AB96" s="128">
        <v>3.73</v>
      </c>
      <c r="AC96" s="128">
        <v>3.73</v>
      </c>
      <c r="AD96" s="128"/>
      <c r="AE96" s="127" t="s">
        <v>455</v>
      </c>
      <c r="AF96" s="128"/>
      <c r="AG96" s="128"/>
      <c r="AH96" s="128"/>
      <c r="AI96" s="128"/>
      <c r="AJ96" s="128"/>
      <c r="AK96" s="128"/>
      <c r="AL96" s="128"/>
      <c r="AM96" s="128"/>
    </row>
    <row r="97" customHeight="1" spans="1:39">
      <c r="A97" s="127" t="s">
        <v>39</v>
      </c>
      <c r="B97" s="127" t="s">
        <v>40</v>
      </c>
      <c r="C97" s="127" t="s">
        <v>41</v>
      </c>
      <c r="D97" s="127" t="s">
        <v>368</v>
      </c>
      <c r="E97" s="127"/>
      <c r="F97" s="127" t="s">
        <v>43</v>
      </c>
      <c r="G97" s="127" t="s">
        <v>44</v>
      </c>
      <c r="H97" s="127" t="s">
        <v>45</v>
      </c>
      <c r="I97" s="127">
        <v>7001221</v>
      </c>
      <c r="J97" s="127" t="s">
        <v>46</v>
      </c>
      <c r="K97" s="127">
        <v>13656706121</v>
      </c>
      <c r="L97" s="127" t="s">
        <v>313</v>
      </c>
      <c r="M97" s="127"/>
      <c r="N97" s="127" t="s">
        <v>314</v>
      </c>
      <c r="O97" s="127">
        <v>7001126</v>
      </c>
      <c r="P97" s="127" t="s">
        <v>315</v>
      </c>
      <c r="Q97" s="127">
        <v>19805706600</v>
      </c>
      <c r="R97" s="127" t="s">
        <v>369</v>
      </c>
      <c r="S97" s="127" t="s">
        <v>370</v>
      </c>
      <c r="T97" s="127"/>
      <c r="U97" s="127" t="s">
        <v>371</v>
      </c>
      <c r="V97" s="127">
        <v>15224008917</v>
      </c>
      <c r="W97" s="127" t="s">
        <v>456</v>
      </c>
      <c r="X97" s="127" t="s">
        <v>457</v>
      </c>
      <c r="Y97" s="127" t="s">
        <v>458</v>
      </c>
      <c r="Z97" s="127" t="s">
        <v>459</v>
      </c>
      <c r="AA97" s="128">
        <v>337</v>
      </c>
      <c r="AB97" s="128">
        <v>355.58</v>
      </c>
      <c r="AC97" s="128">
        <v>355.58</v>
      </c>
      <c r="AD97" s="128"/>
      <c r="AE97" s="127" t="s">
        <v>460</v>
      </c>
      <c r="AF97" s="128"/>
      <c r="AG97" s="128"/>
      <c r="AH97" s="128"/>
      <c r="AI97" s="128"/>
      <c r="AJ97" s="128"/>
      <c r="AK97" s="128"/>
      <c r="AL97" s="128"/>
      <c r="AM97" s="128"/>
    </row>
    <row r="98" customHeight="1" spans="1:39">
      <c r="A98" s="127" t="s">
        <v>39</v>
      </c>
      <c r="B98" s="127" t="s">
        <v>40</v>
      </c>
      <c r="C98" s="127" t="s">
        <v>41</v>
      </c>
      <c r="D98" s="127" t="s">
        <v>368</v>
      </c>
      <c r="E98" s="127"/>
      <c r="F98" s="127" t="s">
        <v>43</v>
      </c>
      <c r="G98" s="127" t="s">
        <v>44</v>
      </c>
      <c r="H98" s="127" t="s">
        <v>45</v>
      </c>
      <c r="I98" s="127">
        <v>7001221</v>
      </c>
      <c r="J98" s="127" t="s">
        <v>46</v>
      </c>
      <c r="K98" s="127">
        <v>13656706121</v>
      </c>
      <c r="L98" s="127" t="s">
        <v>313</v>
      </c>
      <c r="M98" s="127"/>
      <c r="N98" s="127" t="s">
        <v>314</v>
      </c>
      <c r="O98" s="127">
        <v>7001125</v>
      </c>
      <c r="P98" s="127" t="s">
        <v>315</v>
      </c>
      <c r="Q98" s="127">
        <v>19805706600</v>
      </c>
      <c r="R98" s="127" t="s">
        <v>461</v>
      </c>
      <c r="S98" s="127" t="s">
        <v>462</v>
      </c>
      <c r="T98" s="127"/>
      <c r="U98" s="127" t="s">
        <v>463</v>
      </c>
      <c r="V98" s="127">
        <v>18685886809</v>
      </c>
      <c r="W98" s="127" t="s">
        <v>464</v>
      </c>
      <c r="X98" s="127" t="s">
        <v>465</v>
      </c>
      <c r="Y98" s="127" t="s">
        <v>466</v>
      </c>
      <c r="Z98" s="127" t="s">
        <v>467</v>
      </c>
      <c r="AA98" s="128"/>
      <c r="AB98" s="128">
        <v>110.88</v>
      </c>
      <c r="AC98" s="128">
        <v>86.49</v>
      </c>
      <c r="AD98" s="128"/>
      <c r="AE98" s="127" t="s">
        <v>465</v>
      </c>
      <c r="AF98" s="128"/>
      <c r="AG98" s="128"/>
      <c r="AH98" s="128"/>
      <c r="AI98" s="128"/>
      <c r="AJ98" s="128"/>
      <c r="AK98" s="128"/>
      <c r="AL98" s="128"/>
      <c r="AM98" s="128"/>
    </row>
    <row r="99" customHeight="1" spans="1:39">
      <c r="A99" s="127" t="s">
        <v>39</v>
      </c>
      <c r="B99" s="127" t="s">
        <v>40</v>
      </c>
      <c r="C99" s="127" t="s">
        <v>41</v>
      </c>
      <c r="D99" s="127" t="s">
        <v>368</v>
      </c>
      <c r="E99" s="127"/>
      <c r="F99" s="127" t="s">
        <v>43</v>
      </c>
      <c r="G99" s="127" t="s">
        <v>44</v>
      </c>
      <c r="H99" s="127" t="s">
        <v>45</v>
      </c>
      <c r="I99" s="127">
        <v>7001221</v>
      </c>
      <c r="J99" s="127" t="s">
        <v>46</v>
      </c>
      <c r="K99" s="127">
        <v>13656706121</v>
      </c>
      <c r="L99" s="127" t="s">
        <v>313</v>
      </c>
      <c r="M99" s="127"/>
      <c r="N99" s="127" t="s">
        <v>314</v>
      </c>
      <c r="O99" s="127">
        <v>7001125</v>
      </c>
      <c r="P99" s="127" t="s">
        <v>315</v>
      </c>
      <c r="Q99" s="127">
        <v>19805706600</v>
      </c>
      <c r="R99" s="127" t="s">
        <v>468</v>
      </c>
      <c r="S99" s="127" t="s">
        <v>469</v>
      </c>
      <c r="T99" s="127"/>
      <c r="U99" s="127" t="s">
        <v>470</v>
      </c>
      <c r="V99" s="127">
        <v>18685886809</v>
      </c>
      <c r="W99" s="127" t="s">
        <v>471</v>
      </c>
      <c r="X99" s="127" t="s">
        <v>378</v>
      </c>
      <c r="Y99" s="127" t="s">
        <v>472</v>
      </c>
      <c r="Z99" s="127" t="s">
        <v>473</v>
      </c>
      <c r="AA99" s="128">
        <v>1027.598</v>
      </c>
      <c r="AB99" s="128">
        <v>20.11</v>
      </c>
      <c r="AC99" s="128">
        <v>20.11</v>
      </c>
      <c r="AD99" s="128"/>
      <c r="AE99" s="127" t="s">
        <v>474</v>
      </c>
      <c r="AF99" s="128"/>
      <c r="AG99" s="128"/>
      <c r="AH99" s="128"/>
      <c r="AI99" s="128"/>
      <c r="AJ99" s="128"/>
      <c r="AK99" s="128"/>
      <c r="AL99" s="128"/>
      <c r="AM99" s="128"/>
    </row>
    <row r="100" customHeight="1" spans="1:39">
      <c r="A100" s="127" t="s">
        <v>39</v>
      </c>
      <c r="B100" s="127" t="s">
        <v>40</v>
      </c>
      <c r="C100" s="127" t="s">
        <v>41</v>
      </c>
      <c r="D100" s="127" t="s">
        <v>368</v>
      </c>
      <c r="E100" s="127"/>
      <c r="F100" s="127" t="s">
        <v>43</v>
      </c>
      <c r="G100" s="127" t="s">
        <v>44</v>
      </c>
      <c r="H100" s="127" t="s">
        <v>45</v>
      </c>
      <c r="I100" s="127">
        <v>7001221</v>
      </c>
      <c r="J100" s="127" t="s">
        <v>46</v>
      </c>
      <c r="K100" s="127">
        <v>13656706121</v>
      </c>
      <c r="L100" s="127" t="s">
        <v>313</v>
      </c>
      <c r="M100" s="127"/>
      <c r="N100" s="127" t="s">
        <v>314</v>
      </c>
      <c r="O100" s="127">
        <v>7001125</v>
      </c>
      <c r="P100" s="127" t="s">
        <v>315</v>
      </c>
      <c r="Q100" s="127">
        <v>19805706600</v>
      </c>
      <c r="R100" s="127" t="s">
        <v>468</v>
      </c>
      <c r="S100" s="127" t="s">
        <v>469</v>
      </c>
      <c r="T100" s="127"/>
      <c r="U100" s="127" t="s">
        <v>470</v>
      </c>
      <c r="V100" s="127">
        <v>18685886809</v>
      </c>
      <c r="W100" s="127" t="s">
        <v>475</v>
      </c>
      <c r="X100" s="127" t="s">
        <v>400</v>
      </c>
      <c r="Y100" s="127" t="s">
        <v>476</v>
      </c>
      <c r="Z100" s="127" t="s">
        <v>477</v>
      </c>
      <c r="AA100" s="128">
        <v>1027.598</v>
      </c>
      <c r="AB100" s="128">
        <v>1.91</v>
      </c>
      <c r="AC100" s="128">
        <v>1.91</v>
      </c>
      <c r="AD100" s="128"/>
      <c r="AE100" s="127" t="s">
        <v>474</v>
      </c>
      <c r="AF100" s="128"/>
      <c r="AG100" s="128"/>
      <c r="AH100" s="128"/>
      <c r="AI100" s="128"/>
      <c r="AJ100" s="128"/>
      <c r="AK100" s="128"/>
      <c r="AL100" s="128"/>
      <c r="AM100" s="128"/>
    </row>
    <row r="101" customHeight="1" spans="1:39">
      <c r="A101" s="127" t="s">
        <v>39</v>
      </c>
      <c r="B101" s="127" t="s">
        <v>40</v>
      </c>
      <c r="C101" s="127" t="s">
        <v>41</v>
      </c>
      <c r="D101" s="127" t="s">
        <v>368</v>
      </c>
      <c r="E101" s="127"/>
      <c r="F101" s="127" t="s">
        <v>43</v>
      </c>
      <c r="G101" s="127" t="s">
        <v>44</v>
      </c>
      <c r="H101" s="127" t="s">
        <v>45</v>
      </c>
      <c r="I101" s="127">
        <v>7001221</v>
      </c>
      <c r="J101" s="127" t="s">
        <v>46</v>
      </c>
      <c r="K101" s="127">
        <v>13656706121</v>
      </c>
      <c r="L101" s="127" t="s">
        <v>313</v>
      </c>
      <c r="M101" s="127"/>
      <c r="N101" s="127" t="s">
        <v>314</v>
      </c>
      <c r="O101" s="127">
        <v>7001125</v>
      </c>
      <c r="P101" s="127" t="s">
        <v>315</v>
      </c>
      <c r="Q101" s="127">
        <v>19805706600</v>
      </c>
      <c r="R101" s="127" t="s">
        <v>468</v>
      </c>
      <c r="S101" s="127" t="s">
        <v>469</v>
      </c>
      <c r="T101" s="127"/>
      <c r="U101" s="127" t="s">
        <v>470</v>
      </c>
      <c r="V101" s="127">
        <v>18685886809</v>
      </c>
      <c r="W101" s="127" t="s">
        <v>478</v>
      </c>
      <c r="X101" s="127" t="s">
        <v>479</v>
      </c>
      <c r="Y101" s="127" t="s">
        <v>480</v>
      </c>
      <c r="Z101" s="127" t="s">
        <v>481</v>
      </c>
      <c r="AA101" s="128">
        <v>1027.598</v>
      </c>
      <c r="AB101" s="128">
        <v>25.31</v>
      </c>
      <c r="AC101" s="128">
        <v>23.3</v>
      </c>
      <c r="AD101" s="128"/>
      <c r="AE101" s="127" t="s">
        <v>474</v>
      </c>
      <c r="AF101" s="128"/>
      <c r="AG101" s="128"/>
      <c r="AH101" s="128"/>
      <c r="AI101" s="128"/>
      <c r="AJ101" s="128"/>
      <c r="AK101" s="128"/>
      <c r="AL101" s="128"/>
      <c r="AM101" s="128"/>
    </row>
    <row r="102" customHeight="1" spans="1:39">
      <c r="A102" s="127" t="s">
        <v>39</v>
      </c>
      <c r="B102" s="127" t="s">
        <v>40</v>
      </c>
      <c r="C102" s="127" t="s">
        <v>41</v>
      </c>
      <c r="D102" s="127" t="s">
        <v>368</v>
      </c>
      <c r="E102" s="127"/>
      <c r="F102" s="127" t="s">
        <v>43</v>
      </c>
      <c r="G102" s="127" t="s">
        <v>44</v>
      </c>
      <c r="H102" s="127" t="s">
        <v>45</v>
      </c>
      <c r="I102" s="127">
        <v>7001221</v>
      </c>
      <c r="J102" s="127" t="s">
        <v>46</v>
      </c>
      <c r="K102" s="127">
        <v>13656706121</v>
      </c>
      <c r="L102" s="127" t="s">
        <v>313</v>
      </c>
      <c r="M102" s="127"/>
      <c r="N102" s="127" t="s">
        <v>314</v>
      </c>
      <c r="O102" s="127">
        <v>7001125</v>
      </c>
      <c r="P102" s="127" t="s">
        <v>315</v>
      </c>
      <c r="Q102" s="127">
        <v>19805706600</v>
      </c>
      <c r="R102" s="127" t="s">
        <v>468</v>
      </c>
      <c r="S102" s="127" t="s">
        <v>469</v>
      </c>
      <c r="T102" s="127"/>
      <c r="U102" s="127" t="s">
        <v>470</v>
      </c>
      <c r="V102" s="127">
        <v>18685886809</v>
      </c>
      <c r="W102" s="127" t="s">
        <v>482</v>
      </c>
      <c r="X102" s="127" t="s">
        <v>483</v>
      </c>
      <c r="Y102" s="127" t="s">
        <v>484</v>
      </c>
      <c r="Z102" s="127" t="s">
        <v>485</v>
      </c>
      <c r="AA102" s="128">
        <v>1027.598</v>
      </c>
      <c r="AB102" s="128">
        <v>121.3</v>
      </c>
      <c r="AC102" s="128">
        <v>121.3</v>
      </c>
      <c r="AD102" s="128"/>
      <c r="AE102" s="127" t="s">
        <v>474</v>
      </c>
      <c r="AF102" s="128"/>
      <c r="AG102" s="128"/>
      <c r="AH102" s="128"/>
      <c r="AI102" s="128"/>
      <c r="AJ102" s="128"/>
      <c r="AK102" s="128"/>
      <c r="AL102" s="128"/>
      <c r="AM102" s="128"/>
    </row>
    <row r="103" customHeight="1" spans="1:39">
      <c r="A103" s="127" t="s">
        <v>39</v>
      </c>
      <c r="B103" s="127" t="s">
        <v>40</v>
      </c>
      <c r="C103" s="127" t="s">
        <v>41</v>
      </c>
      <c r="D103" s="127" t="s">
        <v>368</v>
      </c>
      <c r="E103" s="127"/>
      <c r="F103" s="127" t="s">
        <v>43</v>
      </c>
      <c r="G103" s="127" t="s">
        <v>44</v>
      </c>
      <c r="H103" s="127" t="s">
        <v>45</v>
      </c>
      <c r="I103" s="127">
        <v>7001221</v>
      </c>
      <c r="J103" s="127" t="s">
        <v>46</v>
      </c>
      <c r="K103" s="127">
        <v>13656706121</v>
      </c>
      <c r="L103" s="127" t="s">
        <v>313</v>
      </c>
      <c r="M103" s="127"/>
      <c r="N103" s="127" t="s">
        <v>314</v>
      </c>
      <c r="O103" s="127">
        <v>7001125</v>
      </c>
      <c r="P103" s="127" t="s">
        <v>315</v>
      </c>
      <c r="Q103" s="127">
        <v>19805706600</v>
      </c>
      <c r="R103" s="127" t="s">
        <v>468</v>
      </c>
      <c r="S103" s="127" t="s">
        <v>469</v>
      </c>
      <c r="T103" s="127"/>
      <c r="U103" s="127" t="s">
        <v>470</v>
      </c>
      <c r="V103" s="127">
        <v>18685886809</v>
      </c>
      <c r="W103" s="127" t="s">
        <v>486</v>
      </c>
      <c r="X103" s="127" t="s">
        <v>487</v>
      </c>
      <c r="Y103" s="127" t="s">
        <v>488</v>
      </c>
      <c r="Z103" s="127" t="s">
        <v>489</v>
      </c>
      <c r="AA103" s="128">
        <v>1027.598</v>
      </c>
      <c r="AB103" s="128">
        <v>6</v>
      </c>
      <c r="AC103" s="128">
        <v>6</v>
      </c>
      <c r="AD103" s="128"/>
      <c r="AE103" s="127" t="s">
        <v>474</v>
      </c>
      <c r="AF103" s="128"/>
      <c r="AG103" s="128"/>
      <c r="AH103" s="128"/>
      <c r="AI103" s="128"/>
      <c r="AJ103" s="128"/>
      <c r="AK103" s="128"/>
      <c r="AL103" s="128"/>
      <c r="AM103" s="128"/>
    </row>
    <row r="104" customHeight="1" spans="1:39">
      <c r="A104" s="127" t="s">
        <v>39</v>
      </c>
      <c r="B104" s="127" t="s">
        <v>40</v>
      </c>
      <c r="C104" s="127" t="s">
        <v>41</v>
      </c>
      <c r="D104" s="127" t="s">
        <v>368</v>
      </c>
      <c r="E104" s="127"/>
      <c r="F104" s="127" t="s">
        <v>43</v>
      </c>
      <c r="G104" s="127" t="s">
        <v>44</v>
      </c>
      <c r="H104" s="127" t="s">
        <v>45</v>
      </c>
      <c r="I104" s="127">
        <v>7001221</v>
      </c>
      <c r="J104" s="127" t="s">
        <v>46</v>
      </c>
      <c r="K104" s="127">
        <v>13656706121</v>
      </c>
      <c r="L104" s="127" t="s">
        <v>313</v>
      </c>
      <c r="M104" s="127"/>
      <c r="N104" s="127" t="s">
        <v>314</v>
      </c>
      <c r="O104" s="127">
        <v>7001125</v>
      </c>
      <c r="P104" s="127" t="s">
        <v>315</v>
      </c>
      <c r="Q104" s="127">
        <v>19805706600</v>
      </c>
      <c r="R104" s="127" t="s">
        <v>468</v>
      </c>
      <c r="S104" s="127" t="s">
        <v>469</v>
      </c>
      <c r="T104" s="127"/>
      <c r="U104" s="127" t="s">
        <v>470</v>
      </c>
      <c r="V104" s="127">
        <v>18685886809</v>
      </c>
      <c r="W104" s="127" t="s">
        <v>490</v>
      </c>
      <c r="X104" s="127" t="s">
        <v>491</v>
      </c>
      <c r="Y104" s="127" t="s">
        <v>492</v>
      </c>
      <c r="Z104" s="127" t="s">
        <v>493</v>
      </c>
      <c r="AA104" s="128">
        <v>1027.598</v>
      </c>
      <c r="AB104" s="128">
        <v>5.45</v>
      </c>
      <c r="AC104" s="128">
        <v>5.44</v>
      </c>
      <c r="AD104" s="128"/>
      <c r="AE104" s="127" t="s">
        <v>474</v>
      </c>
      <c r="AF104" s="128"/>
      <c r="AG104" s="128"/>
      <c r="AH104" s="128"/>
      <c r="AI104" s="128"/>
      <c r="AJ104" s="128"/>
      <c r="AK104" s="128"/>
      <c r="AL104" s="128"/>
      <c r="AM104" s="128"/>
    </row>
    <row r="105" customHeight="1" spans="1:39">
      <c r="A105" s="127" t="s">
        <v>39</v>
      </c>
      <c r="B105" s="127" t="s">
        <v>40</v>
      </c>
      <c r="C105" s="127" t="s">
        <v>41</v>
      </c>
      <c r="D105" s="127" t="s">
        <v>368</v>
      </c>
      <c r="E105" s="127"/>
      <c r="F105" s="127" t="s">
        <v>43</v>
      </c>
      <c r="G105" s="127" t="s">
        <v>44</v>
      </c>
      <c r="H105" s="127" t="s">
        <v>45</v>
      </c>
      <c r="I105" s="127">
        <v>7001221</v>
      </c>
      <c r="J105" s="127" t="s">
        <v>46</v>
      </c>
      <c r="K105" s="127">
        <v>13656706121</v>
      </c>
      <c r="L105" s="127" t="s">
        <v>313</v>
      </c>
      <c r="M105" s="127"/>
      <c r="N105" s="127" t="s">
        <v>314</v>
      </c>
      <c r="O105" s="127">
        <v>7001125</v>
      </c>
      <c r="P105" s="127" t="s">
        <v>315</v>
      </c>
      <c r="Q105" s="127">
        <v>19805706600</v>
      </c>
      <c r="R105" s="127" t="s">
        <v>468</v>
      </c>
      <c r="S105" s="127" t="s">
        <v>469</v>
      </c>
      <c r="T105" s="127"/>
      <c r="U105" s="127" t="s">
        <v>470</v>
      </c>
      <c r="V105" s="127">
        <v>18685886809</v>
      </c>
      <c r="W105" s="127" t="s">
        <v>494</v>
      </c>
      <c r="X105" s="127" t="s">
        <v>495</v>
      </c>
      <c r="Y105" s="127" t="s">
        <v>496</v>
      </c>
      <c r="Z105" s="127" t="s">
        <v>497</v>
      </c>
      <c r="AA105" s="128">
        <v>1027.598</v>
      </c>
      <c r="AB105" s="128">
        <v>5.45</v>
      </c>
      <c r="AC105" s="128">
        <v>0</v>
      </c>
      <c r="AD105" s="128"/>
      <c r="AE105" s="127" t="s">
        <v>474</v>
      </c>
      <c r="AF105" s="128"/>
      <c r="AG105" s="128"/>
      <c r="AH105" s="128"/>
      <c r="AI105" s="128"/>
      <c r="AJ105" s="128"/>
      <c r="AK105" s="128"/>
      <c r="AL105" s="128"/>
      <c r="AM105" s="128"/>
    </row>
    <row r="106" customHeight="1" spans="1:39">
      <c r="A106" s="127" t="s">
        <v>39</v>
      </c>
      <c r="B106" s="127" t="s">
        <v>40</v>
      </c>
      <c r="C106" s="127" t="s">
        <v>41</v>
      </c>
      <c r="D106" s="127" t="s">
        <v>368</v>
      </c>
      <c r="E106" s="127"/>
      <c r="F106" s="127" t="s">
        <v>43</v>
      </c>
      <c r="G106" s="127" t="s">
        <v>44</v>
      </c>
      <c r="H106" s="127" t="s">
        <v>45</v>
      </c>
      <c r="I106" s="127">
        <v>7001221</v>
      </c>
      <c r="J106" s="127" t="s">
        <v>46</v>
      </c>
      <c r="K106" s="127">
        <v>13656706121</v>
      </c>
      <c r="L106" s="127" t="s">
        <v>313</v>
      </c>
      <c r="M106" s="127"/>
      <c r="N106" s="127" t="s">
        <v>314</v>
      </c>
      <c r="O106" s="127">
        <v>7001125</v>
      </c>
      <c r="P106" s="127" t="s">
        <v>315</v>
      </c>
      <c r="Q106" s="127">
        <v>19805706600</v>
      </c>
      <c r="R106" s="127" t="s">
        <v>468</v>
      </c>
      <c r="S106" s="127" t="s">
        <v>469</v>
      </c>
      <c r="T106" s="127"/>
      <c r="U106" s="127" t="s">
        <v>470</v>
      </c>
      <c r="V106" s="127">
        <v>18685886809</v>
      </c>
      <c r="W106" s="127" t="s">
        <v>498</v>
      </c>
      <c r="X106" s="127" t="s">
        <v>499</v>
      </c>
      <c r="Y106" s="127" t="s">
        <v>500</v>
      </c>
      <c r="Z106" s="127" t="s">
        <v>501</v>
      </c>
      <c r="AA106" s="128">
        <v>1027.598</v>
      </c>
      <c r="AB106" s="128">
        <v>2.89</v>
      </c>
      <c r="AC106" s="128">
        <v>2.89</v>
      </c>
      <c r="AD106" s="128"/>
      <c r="AE106" s="127" t="s">
        <v>474</v>
      </c>
      <c r="AF106" s="128"/>
      <c r="AG106" s="128"/>
      <c r="AH106" s="128"/>
      <c r="AI106" s="128"/>
      <c r="AJ106" s="128"/>
      <c r="AK106" s="128"/>
      <c r="AL106" s="128"/>
      <c r="AM106" s="128"/>
    </row>
    <row r="107" customHeight="1" spans="1:39">
      <c r="A107" s="127" t="s">
        <v>39</v>
      </c>
      <c r="B107" s="127" t="s">
        <v>40</v>
      </c>
      <c r="C107" s="127" t="s">
        <v>41</v>
      </c>
      <c r="D107" s="127" t="s">
        <v>368</v>
      </c>
      <c r="E107" s="127"/>
      <c r="F107" s="127" t="s">
        <v>43</v>
      </c>
      <c r="G107" s="127" t="s">
        <v>44</v>
      </c>
      <c r="H107" s="127" t="s">
        <v>45</v>
      </c>
      <c r="I107" s="127">
        <v>7001221</v>
      </c>
      <c r="J107" s="127" t="s">
        <v>46</v>
      </c>
      <c r="K107" s="127">
        <v>13656706121</v>
      </c>
      <c r="L107" s="127" t="s">
        <v>313</v>
      </c>
      <c r="M107" s="127"/>
      <c r="N107" s="127" t="s">
        <v>314</v>
      </c>
      <c r="O107" s="127">
        <v>7001125</v>
      </c>
      <c r="P107" s="127" t="s">
        <v>315</v>
      </c>
      <c r="Q107" s="127">
        <v>19805706600</v>
      </c>
      <c r="R107" s="127" t="s">
        <v>468</v>
      </c>
      <c r="S107" s="127" t="s">
        <v>469</v>
      </c>
      <c r="T107" s="127"/>
      <c r="U107" s="127" t="s">
        <v>470</v>
      </c>
      <c r="V107" s="127">
        <v>18685886809</v>
      </c>
      <c r="W107" s="127" t="s">
        <v>502</v>
      </c>
      <c r="X107" s="127" t="s">
        <v>465</v>
      </c>
      <c r="Y107" s="127" t="s">
        <v>503</v>
      </c>
      <c r="Z107" s="127" t="s">
        <v>504</v>
      </c>
      <c r="AA107" s="128">
        <v>1027.598</v>
      </c>
      <c r="AB107" s="128">
        <v>60.57</v>
      </c>
      <c r="AC107" s="128">
        <v>60.58</v>
      </c>
      <c r="AD107" s="128"/>
      <c r="AE107" s="127" t="s">
        <v>474</v>
      </c>
      <c r="AF107" s="128"/>
      <c r="AG107" s="128"/>
      <c r="AH107" s="128"/>
      <c r="AI107" s="128"/>
      <c r="AJ107" s="128"/>
      <c r="AK107" s="128"/>
      <c r="AL107" s="128"/>
      <c r="AM107" s="128"/>
    </row>
    <row r="108" customHeight="1" spans="1:39">
      <c r="A108" s="127" t="s">
        <v>39</v>
      </c>
      <c r="B108" s="127" t="s">
        <v>40</v>
      </c>
      <c r="C108" s="127" t="s">
        <v>41</v>
      </c>
      <c r="D108" s="127" t="s">
        <v>368</v>
      </c>
      <c r="E108" s="127"/>
      <c r="F108" s="127" t="s">
        <v>43</v>
      </c>
      <c r="G108" s="127" t="s">
        <v>44</v>
      </c>
      <c r="H108" s="127" t="s">
        <v>45</v>
      </c>
      <c r="I108" s="127">
        <v>7001221</v>
      </c>
      <c r="J108" s="127" t="s">
        <v>46</v>
      </c>
      <c r="K108" s="127">
        <v>13656706121</v>
      </c>
      <c r="L108" s="127" t="s">
        <v>313</v>
      </c>
      <c r="M108" s="127"/>
      <c r="N108" s="127" t="s">
        <v>314</v>
      </c>
      <c r="O108" s="127">
        <v>7001125</v>
      </c>
      <c r="P108" s="127" t="s">
        <v>315</v>
      </c>
      <c r="Q108" s="127">
        <v>19805706600</v>
      </c>
      <c r="R108" s="127" t="s">
        <v>468</v>
      </c>
      <c r="S108" s="127" t="s">
        <v>469</v>
      </c>
      <c r="T108" s="127"/>
      <c r="U108" s="127" t="s">
        <v>470</v>
      </c>
      <c r="V108" s="127">
        <v>18685886809</v>
      </c>
      <c r="W108" s="127" t="s">
        <v>505</v>
      </c>
      <c r="X108" s="127" t="s">
        <v>506</v>
      </c>
      <c r="Y108" s="127" t="s">
        <v>507</v>
      </c>
      <c r="Z108" s="127" t="s">
        <v>508</v>
      </c>
      <c r="AA108" s="128">
        <v>1027.598</v>
      </c>
      <c r="AB108" s="128">
        <v>13.58</v>
      </c>
      <c r="AC108" s="128">
        <v>13.58</v>
      </c>
      <c r="AD108" s="128"/>
      <c r="AE108" s="127" t="s">
        <v>474</v>
      </c>
      <c r="AF108" s="128"/>
      <c r="AG108" s="128"/>
      <c r="AH108" s="128"/>
      <c r="AI108" s="128"/>
      <c r="AJ108" s="128"/>
      <c r="AK108" s="128"/>
      <c r="AL108" s="128"/>
      <c r="AM108" s="128"/>
    </row>
    <row r="109" customHeight="1" spans="1:39">
      <c r="A109" s="127" t="s">
        <v>39</v>
      </c>
      <c r="B109" s="127" t="s">
        <v>40</v>
      </c>
      <c r="C109" s="127" t="s">
        <v>41</v>
      </c>
      <c r="D109" s="127" t="s">
        <v>368</v>
      </c>
      <c r="E109" s="127"/>
      <c r="F109" s="127" t="s">
        <v>43</v>
      </c>
      <c r="G109" s="127" t="s">
        <v>44</v>
      </c>
      <c r="H109" s="127" t="s">
        <v>45</v>
      </c>
      <c r="I109" s="127">
        <v>7001221</v>
      </c>
      <c r="J109" s="127" t="s">
        <v>46</v>
      </c>
      <c r="K109" s="127">
        <v>13656706121</v>
      </c>
      <c r="L109" s="127" t="s">
        <v>313</v>
      </c>
      <c r="M109" s="127"/>
      <c r="N109" s="127" t="s">
        <v>314</v>
      </c>
      <c r="O109" s="127">
        <v>7001125</v>
      </c>
      <c r="P109" s="127" t="s">
        <v>315</v>
      </c>
      <c r="Q109" s="127">
        <v>19805706600</v>
      </c>
      <c r="R109" s="127" t="s">
        <v>468</v>
      </c>
      <c r="S109" s="127" t="s">
        <v>469</v>
      </c>
      <c r="T109" s="127"/>
      <c r="U109" s="127" t="s">
        <v>470</v>
      </c>
      <c r="V109" s="127">
        <v>18685886809</v>
      </c>
      <c r="W109" s="127" t="s">
        <v>509</v>
      </c>
      <c r="X109" s="127" t="s">
        <v>510</v>
      </c>
      <c r="Y109" s="127" t="s">
        <v>511</v>
      </c>
      <c r="Z109" s="127" t="s">
        <v>512</v>
      </c>
      <c r="AA109" s="128">
        <v>1027.598</v>
      </c>
      <c r="AB109" s="128">
        <v>9.19</v>
      </c>
      <c r="AC109" s="128">
        <v>9.19</v>
      </c>
      <c r="AD109" s="128"/>
      <c r="AE109" s="127" t="s">
        <v>474</v>
      </c>
      <c r="AF109" s="128"/>
      <c r="AG109" s="128"/>
      <c r="AH109" s="128"/>
      <c r="AI109" s="128"/>
      <c r="AJ109" s="128"/>
      <c r="AK109" s="128"/>
      <c r="AL109" s="128"/>
      <c r="AM109" s="128"/>
    </row>
    <row r="110" customHeight="1" spans="1:39">
      <c r="A110" s="127" t="s">
        <v>39</v>
      </c>
      <c r="B110" s="127" t="s">
        <v>40</v>
      </c>
      <c r="C110" s="127" t="s">
        <v>41</v>
      </c>
      <c r="D110" s="127" t="s">
        <v>368</v>
      </c>
      <c r="E110" s="127"/>
      <c r="F110" s="127" t="s">
        <v>43</v>
      </c>
      <c r="G110" s="127" t="s">
        <v>44</v>
      </c>
      <c r="H110" s="127" t="s">
        <v>45</v>
      </c>
      <c r="I110" s="127">
        <v>7001221</v>
      </c>
      <c r="J110" s="127" t="s">
        <v>46</v>
      </c>
      <c r="K110" s="127">
        <v>13656706121</v>
      </c>
      <c r="L110" s="127" t="s">
        <v>313</v>
      </c>
      <c r="M110" s="127"/>
      <c r="N110" s="127" t="s">
        <v>314</v>
      </c>
      <c r="O110" s="127">
        <v>7001125</v>
      </c>
      <c r="P110" s="127" t="s">
        <v>315</v>
      </c>
      <c r="Q110" s="127">
        <v>19805706600</v>
      </c>
      <c r="R110" s="127" t="s">
        <v>468</v>
      </c>
      <c r="S110" s="127" t="s">
        <v>469</v>
      </c>
      <c r="T110" s="127"/>
      <c r="U110" s="127" t="s">
        <v>470</v>
      </c>
      <c r="V110" s="127">
        <v>18685886809</v>
      </c>
      <c r="W110" s="127" t="s">
        <v>513</v>
      </c>
      <c r="X110" s="127" t="s">
        <v>514</v>
      </c>
      <c r="Y110" s="127" t="s">
        <v>515</v>
      </c>
      <c r="Z110" s="127" t="s">
        <v>516</v>
      </c>
      <c r="AA110" s="128">
        <v>1027.598</v>
      </c>
      <c r="AB110" s="128">
        <v>33.79</v>
      </c>
      <c r="AC110" s="128">
        <v>33.79</v>
      </c>
      <c r="AD110" s="128"/>
      <c r="AE110" s="127" t="s">
        <v>474</v>
      </c>
      <c r="AF110" s="128"/>
      <c r="AG110" s="128"/>
      <c r="AH110" s="128"/>
      <c r="AI110" s="128"/>
      <c r="AJ110" s="128"/>
      <c r="AK110" s="128"/>
      <c r="AL110" s="128"/>
      <c r="AM110" s="128"/>
    </row>
    <row r="111" customHeight="1" spans="1:39">
      <c r="A111" s="127" t="s">
        <v>39</v>
      </c>
      <c r="B111" s="127" t="s">
        <v>40</v>
      </c>
      <c r="C111" s="127" t="s">
        <v>41</v>
      </c>
      <c r="D111" s="127" t="s">
        <v>368</v>
      </c>
      <c r="E111" s="127"/>
      <c r="F111" s="127" t="s">
        <v>43</v>
      </c>
      <c r="G111" s="127" t="s">
        <v>44</v>
      </c>
      <c r="H111" s="127" t="s">
        <v>45</v>
      </c>
      <c r="I111" s="127">
        <v>7001221</v>
      </c>
      <c r="J111" s="127" t="s">
        <v>46</v>
      </c>
      <c r="K111" s="127">
        <v>13656706121</v>
      </c>
      <c r="L111" s="127" t="s">
        <v>313</v>
      </c>
      <c r="M111" s="127"/>
      <c r="N111" s="127" t="s">
        <v>314</v>
      </c>
      <c r="O111" s="127">
        <v>7001125</v>
      </c>
      <c r="P111" s="127" t="s">
        <v>315</v>
      </c>
      <c r="Q111" s="127">
        <v>19805706600</v>
      </c>
      <c r="R111" s="127" t="s">
        <v>468</v>
      </c>
      <c r="S111" s="127" t="s">
        <v>469</v>
      </c>
      <c r="T111" s="127"/>
      <c r="U111" s="127" t="s">
        <v>470</v>
      </c>
      <c r="V111" s="127">
        <v>18685886809</v>
      </c>
      <c r="W111" s="127" t="s">
        <v>517</v>
      </c>
      <c r="X111" s="127" t="s">
        <v>518</v>
      </c>
      <c r="Y111" s="127" t="s">
        <v>519</v>
      </c>
      <c r="Z111" s="127" t="s">
        <v>520</v>
      </c>
      <c r="AA111" s="128">
        <v>1027.598</v>
      </c>
      <c r="AB111" s="128">
        <v>11.28</v>
      </c>
      <c r="AC111" s="128">
        <v>11.29</v>
      </c>
      <c r="AD111" s="128"/>
      <c r="AE111" s="127" t="s">
        <v>474</v>
      </c>
      <c r="AF111" s="128"/>
      <c r="AG111" s="128"/>
      <c r="AH111" s="128"/>
      <c r="AI111" s="128"/>
      <c r="AJ111" s="128"/>
      <c r="AK111" s="128"/>
      <c r="AL111" s="128"/>
      <c r="AM111" s="128"/>
    </row>
    <row r="112" customHeight="1" spans="1:39">
      <c r="A112" s="127" t="s">
        <v>39</v>
      </c>
      <c r="B112" s="127" t="s">
        <v>40</v>
      </c>
      <c r="C112" s="127" t="s">
        <v>41</v>
      </c>
      <c r="D112" s="127" t="s">
        <v>368</v>
      </c>
      <c r="E112" s="127"/>
      <c r="F112" s="127" t="s">
        <v>43</v>
      </c>
      <c r="G112" s="127" t="s">
        <v>44</v>
      </c>
      <c r="H112" s="127" t="s">
        <v>45</v>
      </c>
      <c r="I112" s="127">
        <v>7001221</v>
      </c>
      <c r="J112" s="127" t="s">
        <v>46</v>
      </c>
      <c r="K112" s="127">
        <v>13656706121</v>
      </c>
      <c r="L112" s="127" t="s">
        <v>313</v>
      </c>
      <c r="M112" s="127"/>
      <c r="N112" s="127" t="s">
        <v>314</v>
      </c>
      <c r="O112" s="127">
        <v>7001125</v>
      </c>
      <c r="P112" s="127" t="s">
        <v>315</v>
      </c>
      <c r="Q112" s="127">
        <v>19805706600</v>
      </c>
      <c r="R112" s="127" t="s">
        <v>468</v>
      </c>
      <c r="S112" s="127" t="s">
        <v>469</v>
      </c>
      <c r="T112" s="127"/>
      <c r="U112" s="127" t="s">
        <v>470</v>
      </c>
      <c r="V112" s="127">
        <v>18685886809</v>
      </c>
      <c r="W112" s="127" t="s">
        <v>521</v>
      </c>
      <c r="X112" s="127" t="s">
        <v>522</v>
      </c>
      <c r="Y112" s="127" t="s">
        <v>523</v>
      </c>
      <c r="Z112" s="127" t="s">
        <v>524</v>
      </c>
      <c r="AA112" s="128">
        <v>1027.598</v>
      </c>
      <c r="AB112" s="128">
        <v>68.16</v>
      </c>
      <c r="AC112" s="128">
        <v>68.17</v>
      </c>
      <c r="AD112" s="128"/>
      <c r="AE112" s="127" t="s">
        <v>474</v>
      </c>
      <c r="AF112" s="128"/>
      <c r="AG112" s="128"/>
      <c r="AH112" s="128"/>
      <c r="AI112" s="128"/>
      <c r="AJ112" s="128"/>
      <c r="AK112" s="128"/>
      <c r="AL112" s="128"/>
      <c r="AM112" s="128"/>
    </row>
    <row r="113" customHeight="1" spans="1:39">
      <c r="A113" s="127" t="s">
        <v>39</v>
      </c>
      <c r="B113" s="127" t="s">
        <v>40</v>
      </c>
      <c r="C113" s="127" t="s">
        <v>41</v>
      </c>
      <c r="D113" s="127" t="s">
        <v>368</v>
      </c>
      <c r="E113" s="127"/>
      <c r="F113" s="127" t="s">
        <v>43</v>
      </c>
      <c r="G113" s="127" t="s">
        <v>44</v>
      </c>
      <c r="H113" s="127" t="s">
        <v>45</v>
      </c>
      <c r="I113" s="127">
        <v>7001221</v>
      </c>
      <c r="J113" s="127" t="s">
        <v>46</v>
      </c>
      <c r="K113" s="127">
        <v>13656706121</v>
      </c>
      <c r="L113" s="127" t="s">
        <v>313</v>
      </c>
      <c r="M113" s="127"/>
      <c r="N113" s="127" t="s">
        <v>314</v>
      </c>
      <c r="O113" s="127">
        <v>7001125</v>
      </c>
      <c r="P113" s="127" t="s">
        <v>315</v>
      </c>
      <c r="Q113" s="127">
        <v>19805706600</v>
      </c>
      <c r="R113" s="127" t="s">
        <v>468</v>
      </c>
      <c r="S113" s="127" t="s">
        <v>469</v>
      </c>
      <c r="T113" s="127"/>
      <c r="U113" s="127" t="s">
        <v>470</v>
      </c>
      <c r="V113" s="127">
        <v>18685886809</v>
      </c>
      <c r="W113" s="127" t="s">
        <v>525</v>
      </c>
      <c r="X113" s="127" t="s">
        <v>526</v>
      </c>
      <c r="Y113" s="127" t="s">
        <v>527</v>
      </c>
      <c r="Z113" s="127" t="s">
        <v>528</v>
      </c>
      <c r="AA113" s="128">
        <v>1027.598</v>
      </c>
      <c r="AB113" s="128">
        <v>27.89</v>
      </c>
      <c r="AC113" s="128">
        <v>27.89</v>
      </c>
      <c r="AD113" s="128"/>
      <c r="AE113" s="127" t="s">
        <v>474</v>
      </c>
      <c r="AF113" s="128"/>
      <c r="AG113" s="128"/>
      <c r="AH113" s="128"/>
      <c r="AI113" s="128"/>
      <c r="AJ113" s="128"/>
      <c r="AK113" s="128"/>
      <c r="AL113" s="128"/>
      <c r="AM113" s="128"/>
    </row>
    <row r="114" customHeight="1" spans="1:39">
      <c r="A114" s="127" t="s">
        <v>39</v>
      </c>
      <c r="B114" s="127" t="s">
        <v>40</v>
      </c>
      <c r="C114" s="127" t="s">
        <v>41</v>
      </c>
      <c r="D114" s="127" t="s">
        <v>368</v>
      </c>
      <c r="E114" s="127"/>
      <c r="F114" s="127" t="s">
        <v>43</v>
      </c>
      <c r="G114" s="127" t="s">
        <v>44</v>
      </c>
      <c r="H114" s="127" t="s">
        <v>45</v>
      </c>
      <c r="I114" s="127">
        <v>7001221</v>
      </c>
      <c r="J114" s="127" t="s">
        <v>46</v>
      </c>
      <c r="K114" s="127">
        <v>13656706121</v>
      </c>
      <c r="L114" s="127" t="s">
        <v>313</v>
      </c>
      <c r="M114" s="127"/>
      <c r="N114" s="127" t="s">
        <v>314</v>
      </c>
      <c r="O114" s="127">
        <v>7001125</v>
      </c>
      <c r="P114" s="127" t="s">
        <v>315</v>
      </c>
      <c r="Q114" s="127">
        <v>19805706600</v>
      </c>
      <c r="R114" s="127" t="s">
        <v>468</v>
      </c>
      <c r="S114" s="127" t="s">
        <v>469</v>
      </c>
      <c r="T114" s="127"/>
      <c r="U114" s="127" t="s">
        <v>470</v>
      </c>
      <c r="V114" s="127">
        <v>18685886809</v>
      </c>
      <c r="W114" s="127" t="s">
        <v>529</v>
      </c>
      <c r="X114" s="127" t="s">
        <v>530</v>
      </c>
      <c r="Y114" s="127" t="s">
        <v>531</v>
      </c>
      <c r="Z114" s="127" t="s">
        <v>532</v>
      </c>
      <c r="AA114" s="128">
        <v>1027.598</v>
      </c>
      <c r="AB114" s="128">
        <v>7.13</v>
      </c>
      <c r="AC114" s="128">
        <v>0</v>
      </c>
      <c r="AD114" s="128"/>
      <c r="AE114" s="127" t="s">
        <v>474</v>
      </c>
      <c r="AF114" s="128"/>
      <c r="AG114" s="128"/>
      <c r="AH114" s="128"/>
      <c r="AI114" s="128"/>
      <c r="AJ114" s="128"/>
      <c r="AK114" s="128"/>
      <c r="AL114" s="128"/>
      <c r="AM114" s="128"/>
    </row>
    <row r="115" customHeight="1" spans="1:39">
      <c r="A115" s="127" t="s">
        <v>39</v>
      </c>
      <c r="B115" s="127" t="s">
        <v>40</v>
      </c>
      <c r="C115" s="127" t="s">
        <v>41</v>
      </c>
      <c r="D115" s="127" t="s">
        <v>368</v>
      </c>
      <c r="E115" s="127"/>
      <c r="F115" s="127" t="s">
        <v>43</v>
      </c>
      <c r="G115" s="127" t="s">
        <v>44</v>
      </c>
      <c r="H115" s="127" t="s">
        <v>45</v>
      </c>
      <c r="I115" s="127">
        <v>7001221</v>
      </c>
      <c r="J115" s="127" t="s">
        <v>46</v>
      </c>
      <c r="K115" s="127">
        <v>13656706121</v>
      </c>
      <c r="L115" s="127" t="s">
        <v>313</v>
      </c>
      <c r="M115" s="127"/>
      <c r="N115" s="127" t="s">
        <v>314</v>
      </c>
      <c r="O115" s="127">
        <v>7001125</v>
      </c>
      <c r="P115" s="127" t="s">
        <v>315</v>
      </c>
      <c r="Q115" s="127">
        <v>19805706600</v>
      </c>
      <c r="R115" s="127" t="s">
        <v>468</v>
      </c>
      <c r="S115" s="127" t="s">
        <v>469</v>
      </c>
      <c r="T115" s="127"/>
      <c r="U115" s="127" t="s">
        <v>470</v>
      </c>
      <c r="V115" s="127">
        <v>18685886809</v>
      </c>
      <c r="W115" s="127" t="s">
        <v>533</v>
      </c>
      <c r="X115" s="127" t="s">
        <v>534</v>
      </c>
      <c r="Y115" s="127" t="s">
        <v>535</v>
      </c>
      <c r="Z115" s="127" t="s">
        <v>536</v>
      </c>
      <c r="AA115" s="128">
        <v>1027.598</v>
      </c>
      <c r="AB115" s="128">
        <v>110.05</v>
      </c>
      <c r="AC115" s="128">
        <v>110.04</v>
      </c>
      <c r="AD115" s="128"/>
      <c r="AE115" s="127" t="s">
        <v>474</v>
      </c>
      <c r="AF115" s="128"/>
      <c r="AG115" s="128"/>
      <c r="AH115" s="128"/>
      <c r="AI115" s="128"/>
      <c r="AJ115" s="128"/>
      <c r="AK115" s="128"/>
      <c r="AL115" s="128"/>
      <c r="AM115" s="128"/>
    </row>
    <row r="116" customHeight="1" spans="1:39">
      <c r="A116" s="127" t="s">
        <v>39</v>
      </c>
      <c r="B116" s="127" t="s">
        <v>40</v>
      </c>
      <c r="C116" s="127" t="s">
        <v>41</v>
      </c>
      <c r="D116" s="127" t="s">
        <v>368</v>
      </c>
      <c r="E116" s="127"/>
      <c r="F116" s="127" t="s">
        <v>43</v>
      </c>
      <c r="G116" s="127" t="s">
        <v>44</v>
      </c>
      <c r="H116" s="127" t="s">
        <v>45</v>
      </c>
      <c r="I116" s="127">
        <v>7001221</v>
      </c>
      <c r="J116" s="127" t="s">
        <v>46</v>
      </c>
      <c r="K116" s="127">
        <v>13656706121</v>
      </c>
      <c r="L116" s="127" t="s">
        <v>313</v>
      </c>
      <c r="M116" s="127"/>
      <c r="N116" s="127" t="s">
        <v>314</v>
      </c>
      <c r="O116" s="127">
        <v>7001125</v>
      </c>
      <c r="P116" s="127" t="s">
        <v>315</v>
      </c>
      <c r="Q116" s="127">
        <v>19805706600</v>
      </c>
      <c r="R116" s="127" t="s">
        <v>468</v>
      </c>
      <c r="S116" s="127" t="s">
        <v>469</v>
      </c>
      <c r="T116" s="127"/>
      <c r="U116" s="127" t="s">
        <v>470</v>
      </c>
      <c r="V116" s="127">
        <v>18685886809</v>
      </c>
      <c r="W116" s="127" t="s">
        <v>537</v>
      </c>
      <c r="X116" s="127" t="s">
        <v>538</v>
      </c>
      <c r="Y116" s="127" t="s">
        <v>539</v>
      </c>
      <c r="Z116" s="127" t="s">
        <v>540</v>
      </c>
      <c r="AA116" s="128">
        <v>1027.598</v>
      </c>
      <c r="AB116" s="128">
        <v>6.11</v>
      </c>
      <c r="AC116" s="128">
        <v>6.11</v>
      </c>
      <c r="AD116" s="128"/>
      <c r="AE116" s="127" t="s">
        <v>474</v>
      </c>
      <c r="AF116" s="128"/>
      <c r="AG116" s="128"/>
      <c r="AH116" s="128"/>
      <c r="AI116" s="128"/>
      <c r="AJ116" s="128"/>
      <c r="AK116" s="128"/>
      <c r="AL116" s="128"/>
      <c r="AM116" s="128"/>
    </row>
    <row r="117" customHeight="1" spans="1:39">
      <c r="A117" s="127" t="s">
        <v>39</v>
      </c>
      <c r="B117" s="127" t="s">
        <v>40</v>
      </c>
      <c r="C117" s="127" t="s">
        <v>41</v>
      </c>
      <c r="D117" s="127" t="s">
        <v>368</v>
      </c>
      <c r="E117" s="127"/>
      <c r="F117" s="127" t="s">
        <v>43</v>
      </c>
      <c r="G117" s="127" t="s">
        <v>44</v>
      </c>
      <c r="H117" s="127" t="s">
        <v>45</v>
      </c>
      <c r="I117" s="127">
        <v>7001221</v>
      </c>
      <c r="J117" s="127" t="s">
        <v>46</v>
      </c>
      <c r="K117" s="127">
        <v>13656706121</v>
      </c>
      <c r="L117" s="127" t="s">
        <v>313</v>
      </c>
      <c r="M117" s="127"/>
      <c r="N117" s="127" t="s">
        <v>314</v>
      </c>
      <c r="O117" s="127">
        <v>7001125</v>
      </c>
      <c r="P117" s="127" t="s">
        <v>315</v>
      </c>
      <c r="Q117" s="127">
        <v>19805706600</v>
      </c>
      <c r="R117" s="127" t="s">
        <v>468</v>
      </c>
      <c r="S117" s="127" t="s">
        <v>469</v>
      </c>
      <c r="T117" s="127"/>
      <c r="U117" s="127" t="s">
        <v>470</v>
      </c>
      <c r="V117" s="127">
        <v>18685886809</v>
      </c>
      <c r="W117" s="127" t="s">
        <v>541</v>
      </c>
      <c r="X117" s="127" t="s">
        <v>542</v>
      </c>
      <c r="Y117" s="127" t="s">
        <v>543</v>
      </c>
      <c r="Z117" s="127" t="s">
        <v>544</v>
      </c>
      <c r="AA117" s="128">
        <v>1027.598</v>
      </c>
      <c r="AB117" s="128">
        <v>9.25</v>
      </c>
      <c r="AC117" s="128">
        <v>9.25</v>
      </c>
      <c r="AD117" s="128"/>
      <c r="AE117" s="127" t="s">
        <v>474</v>
      </c>
      <c r="AF117" s="128"/>
      <c r="AG117" s="128"/>
      <c r="AH117" s="128"/>
      <c r="AI117" s="128"/>
      <c r="AJ117" s="128"/>
      <c r="AK117" s="128"/>
      <c r="AL117" s="128"/>
      <c r="AM117" s="128"/>
    </row>
    <row r="118" customHeight="1" spans="1:39">
      <c r="A118" s="127" t="s">
        <v>39</v>
      </c>
      <c r="B118" s="127" t="s">
        <v>40</v>
      </c>
      <c r="C118" s="127" t="s">
        <v>41</v>
      </c>
      <c r="D118" s="127" t="s">
        <v>368</v>
      </c>
      <c r="E118" s="127"/>
      <c r="F118" s="127" t="s">
        <v>43</v>
      </c>
      <c r="G118" s="127" t="s">
        <v>44</v>
      </c>
      <c r="H118" s="127" t="s">
        <v>45</v>
      </c>
      <c r="I118" s="127">
        <v>7001221</v>
      </c>
      <c r="J118" s="127" t="s">
        <v>46</v>
      </c>
      <c r="K118" s="127">
        <v>13656706121</v>
      </c>
      <c r="L118" s="127" t="s">
        <v>313</v>
      </c>
      <c r="M118" s="127"/>
      <c r="N118" s="127" t="s">
        <v>314</v>
      </c>
      <c r="O118" s="127">
        <v>7001125</v>
      </c>
      <c r="P118" s="127" t="s">
        <v>315</v>
      </c>
      <c r="Q118" s="127">
        <v>19805706600</v>
      </c>
      <c r="R118" s="127" t="s">
        <v>468</v>
      </c>
      <c r="S118" s="127" t="s">
        <v>469</v>
      </c>
      <c r="T118" s="127"/>
      <c r="U118" s="127" t="s">
        <v>470</v>
      </c>
      <c r="V118" s="127">
        <v>18685886809</v>
      </c>
      <c r="W118" s="127" t="s">
        <v>545</v>
      </c>
      <c r="X118" s="127" t="s">
        <v>546</v>
      </c>
      <c r="Y118" s="127" t="s">
        <v>547</v>
      </c>
      <c r="Z118" s="127" t="s">
        <v>548</v>
      </c>
      <c r="AA118" s="128">
        <v>1027.598</v>
      </c>
      <c r="AB118" s="128"/>
      <c r="AC118" s="128">
        <v>0</v>
      </c>
      <c r="AD118" s="128"/>
      <c r="AE118" s="127" t="s">
        <v>474</v>
      </c>
      <c r="AF118" s="128"/>
      <c r="AG118" s="128"/>
      <c r="AH118" s="128"/>
      <c r="AI118" s="128"/>
      <c r="AJ118" s="128"/>
      <c r="AK118" s="128"/>
      <c r="AL118" s="128"/>
      <c r="AM118" s="128"/>
    </row>
    <row r="119" customHeight="1" spans="1:39">
      <c r="A119" s="127" t="s">
        <v>39</v>
      </c>
      <c r="B119" s="127" t="s">
        <v>40</v>
      </c>
      <c r="C119" s="127" t="s">
        <v>41</v>
      </c>
      <c r="D119" s="127" t="s">
        <v>368</v>
      </c>
      <c r="E119" s="127"/>
      <c r="F119" s="127" t="s">
        <v>43</v>
      </c>
      <c r="G119" s="127" t="s">
        <v>44</v>
      </c>
      <c r="H119" s="127" t="s">
        <v>45</v>
      </c>
      <c r="I119" s="127">
        <v>7001221</v>
      </c>
      <c r="J119" s="127" t="s">
        <v>46</v>
      </c>
      <c r="K119" s="127">
        <v>13656706121</v>
      </c>
      <c r="L119" s="127" t="s">
        <v>313</v>
      </c>
      <c r="M119" s="127"/>
      <c r="N119" s="127" t="s">
        <v>314</v>
      </c>
      <c r="O119" s="127">
        <v>7001125</v>
      </c>
      <c r="P119" s="127" t="s">
        <v>315</v>
      </c>
      <c r="Q119" s="127">
        <v>19805706600</v>
      </c>
      <c r="R119" s="127" t="s">
        <v>468</v>
      </c>
      <c r="S119" s="127" t="s">
        <v>469</v>
      </c>
      <c r="T119" s="127"/>
      <c r="U119" s="127" t="s">
        <v>470</v>
      </c>
      <c r="V119" s="127">
        <v>18685886809</v>
      </c>
      <c r="W119" s="127" t="s">
        <v>549</v>
      </c>
      <c r="X119" s="127" t="s">
        <v>550</v>
      </c>
      <c r="Y119" s="127" t="s">
        <v>551</v>
      </c>
      <c r="Z119" s="127" t="s">
        <v>552</v>
      </c>
      <c r="AA119" s="128">
        <v>1027.598</v>
      </c>
      <c r="AB119" s="128">
        <v>7.13</v>
      </c>
      <c r="AC119" s="128">
        <v>7.13</v>
      </c>
      <c r="AD119" s="128"/>
      <c r="AE119" s="127" t="s">
        <v>474</v>
      </c>
      <c r="AF119" s="128"/>
      <c r="AG119" s="128"/>
      <c r="AH119" s="128"/>
      <c r="AI119" s="128"/>
      <c r="AJ119" s="128"/>
      <c r="AK119" s="128"/>
      <c r="AL119" s="128"/>
      <c r="AM119" s="128"/>
    </row>
    <row r="120" customHeight="1" spans="1:39">
      <c r="A120" s="127" t="s">
        <v>39</v>
      </c>
      <c r="B120" s="127" t="s">
        <v>40</v>
      </c>
      <c r="C120" s="127" t="s">
        <v>41</v>
      </c>
      <c r="D120" s="127" t="s">
        <v>368</v>
      </c>
      <c r="E120" s="127"/>
      <c r="F120" s="127" t="s">
        <v>43</v>
      </c>
      <c r="G120" s="127" t="s">
        <v>44</v>
      </c>
      <c r="H120" s="127" t="s">
        <v>45</v>
      </c>
      <c r="I120" s="127">
        <v>7001221</v>
      </c>
      <c r="J120" s="127" t="s">
        <v>46</v>
      </c>
      <c r="K120" s="127">
        <v>13656706121</v>
      </c>
      <c r="L120" s="127" t="s">
        <v>313</v>
      </c>
      <c r="M120" s="127"/>
      <c r="N120" s="127" t="s">
        <v>314</v>
      </c>
      <c r="O120" s="127">
        <v>7001125</v>
      </c>
      <c r="P120" s="127" t="s">
        <v>315</v>
      </c>
      <c r="Q120" s="127">
        <v>19805706600</v>
      </c>
      <c r="R120" s="127" t="s">
        <v>468</v>
      </c>
      <c r="S120" s="127" t="s">
        <v>469</v>
      </c>
      <c r="T120" s="127"/>
      <c r="U120" s="127" t="s">
        <v>470</v>
      </c>
      <c r="V120" s="127">
        <v>18685886809</v>
      </c>
      <c r="W120" s="127" t="s">
        <v>553</v>
      </c>
      <c r="X120" s="127" t="s">
        <v>554</v>
      </c>
      <c r="Y120" s="127" t="s">
        <v>555</v>
      </c>
      <c r="Z120" s="127" t="s">
        <v>556</v>
      </c>
      <c r="AA120" s="128">
        <v>1027.598</v>
      </c>
      <c r="AB120" s="128">
        <v>16.63</v>
      </c>
      <c r="AC120" s="128">
        <v>16.63</v>
      </c>
      <c r="AD120" s="128"/>
      <c r="AE120" s="127" t="s">
        <v>474</v>
      </c>
      <c r="AF120" s="128"/>
      <c r="AG120" s="128"/>
      <c r="AH120" s="128"/>
      <c r="AI120" s="128"/>
      <c r="AJ120" s="128"/>
      <c r="AK120" s="128"/>
      <c r="AL120" s="128"/>
      <c r="AM120" s="128"/>
    </row>
    <row r="121" customHeight="1" spans="1:39">
      <c r="A121" s="127" t="s">
        <v>39</v>
      </c>
      <c r="B121" s="127" t="s">
        <v>40</v>
      </c>
      <c r="C121" s="127" t="s">
        <v>41</v>
      </c>
      <c r="D121" s="127" t="s">
        <v>368</v>
      </c>
      <c r="E121" s="127"/>
      <c r="F121" s="127" t="s">
        <v>43</v>
      </c>
      <c r="G121" s="127" t="s">
        <v>44</v>
      </c>
      <c r="H121" s="127" t="s">
        <v>45</v>
      </c>
      <c r="I121" s="127">
        <v>7001221</v>
      </c>
      <c r="J121" s="127" t="s">
        <v>46</v>
      </c>
      <c r="K121" s="127">
        <v>13656706121</v>
      </c>
      <c r="L121" s="127" t="s">
        <v>313</v>
      </c>
      <c r="M121" s="127"/>
      <c r="N121" s="127" t="s">
        <v>314</v>
      </c>
      <c r="O121" s="127">
        <v>7001125</v>
      </c>
      <c r="P121" s="127" t="s">
        <v>315</v>
      </c>
      <c r="Q121" s="127">
        <v>19805706600</v>
      </c>
      <c r="R121" s="127" t="s">
        <v>468</v>
      </c>
      <c r="S121" s="127" t="s">
        <v>469</v>
      </c>
      <c r="T121" s="127"/>
      <c r="U121" s="127" t="s">
        <v>470</v>
      </c>
      <c r="V121" s="127">
        <v>18685886809</v>
      </c>
      <c r="W121" s="127" t="s">
        <v>557</v>
      </c>
      <c r="X121" s="127" t="s">
        <v>558</v>
      </c>
      <c r="Y121" s="127" t="s">
        <v>559</v>
      </c>
      <c r="Z121" s="127" t="s">
        <v>560</v>
      </c>
      <c r="AA121" s="128">
        <v>1027.598</v>
      </c>
      <c r="AB121" s="128">
        <v>42.76</v>
      </c>
      <c r="AC121" s="128">
        <v>42.76</v>
      </c>
      <c r="AD121" s="128"/>
      <c r="AE121" s="127" t="s">
        <v>474</v>
      </c>
      <c r="AF121" s="128"/>
      <c r="AG121" s="128"/>
      <c r="AH121" s="128"/>
      <c r="AI121" s="128"/>
      <c r="AJ121" s="128"/>
      <c r="AK121" s="128"/>
      <c r="AL121" s="128"/>
      <c r="AM121" s="128"/>
    </row>
    <row r="122" customHeight="1" spans="1:39">
      <c r="A122" s="127" t="s">
        <v>39</v>
      </c>
      <c r="B122" s="127" t="s">
        <v>40</v>
      </c>
      <c r="C122" s="127" t="s">
        <v>41</v>
      </c>
      <c r="D122" s="127" t="s">
        <v>368</v>
      </c>
      <c r="E122" s="127"/>
      <c r="F122" s="127" t="s">
        <v>43</v>
      </c>
      <c r="G122" s="127" t="s">
        <v>44</v>
      </c>
      <c r="H122" s="127" t="s">
        <v>45</v>
      </c>
      <c r="I122" s="127">
        <v>7001221</v>
      </c>
      <c r="J122" s="127" t="s">
        <v>46</v>
      </c>
      <c r="K122" s="127">
        <v>13656706121</v>
      </c>
      <c r="L122" s="127" t="s">
        <v>313</v>
      </c>
      <c r="M122" s="127"/>
      <c r="N122" s="127" t="s">
        <v>314</v>
      </c>
      <c r="O122" s="127">
        <v>7001125</v>
      </c>
      <c r="P122" s="127" t="s">
        <v>315</v>
      </c>
      <c r="Q122" s="127">
        <v>19805706600</v>
      </c>
      <c r="R122" s="127" t="s">
        <v>468</v>
      </c>
      <c r="S122" s="127" t="s">
        <v>469</v>
      </c>
      <c r="T122" s="127"/>
      <c r="U122" s="127" t="s">
        <v>470</v>
      </c>
      <c r="V122" s="127">
        <v>18685886809</v>
      </c>
      <c r="W122" s="127" t="s">
        <v>561</v>
      </c>
      <c r="X122" s="127" t="s">
        <v>562</v>
      </c>
      <c r="Y122" s="127" t="s">
        <v>563</v>
      </c>
      <c r="Z122" s="127" t="s">
        <v>564</v>
      </c>
      <c r="AA122" s="128">
        <v>1027.598</v>
      </c>
      <c r="AB122" s="128">
        <v>2.27</v>
      </c>
      <c r="AC122" s="128">
        <v>2.27</v>
      </c>
      <c r="AD122" s="128"/>
      <c r="AE122" s="127" t="s">
        <v>474</v>
      </c>
      <c r="AF122" s="128"/>
      <c r="AG122" s="128"/>
      <c r="AH122" s="128"/>
      <c r="AI122" s="128"/>
      <c r="AJ122" s="128"/>
      <c r="AK122" s="128"/>
      <c r="AL122" s="128"/>
      <c r="AM122" s="128"/>
    </row>
    <row r="123" customHeight="1" spans="1:39">
      <c r="A123" s="127" t="s">
        <v>39</v>
      </c>
      <c r="B123" s="127" t="s">
        <v>40</v>
      </c>
      <c r="C123" s="127" t="s">
        <v>41</v>
      </c>
      <c r="D123" s="127" t="s">
        <v>368</v>
      </c>
      <c r="E123" s="127"/>
      <c r="F123" s="127" t="s">
        <v>43</v>
      </c>
      <c r="G123" s="127" t="s">
        <v>44</v>
      </c>
      <c r="H123" s="127" t="s">
        <v>45</v>
      </c>
      <c r="I123" s="127">
        <v>7001221</v>
      </c>
      <c r="J123" s="127" t="s">
        <v>46</v>
      </c>
      <c r="K123" s="127">
        <v>13656706121</v>
      </c>
      <c r="L123" s="127" t="s">
        <v>313</v>
      </c>
      <c r="M123" s="127"/>
      <c r="N123" s="127" t="s">
        <v>314</v>
      </c>
      <c r="O123" s="127">
        <v>7001125</v>
      </c>
      <c r="P123" s="127" t="s">
        <v>315</v>
      </c>
      <c r="Q123" s="127">
        <v>19805706600</v>
      </c>
      <c r="R123" s="127" t="s">
        <v>468</v>
      </c>
      <c r="S123" s="127" t="s">
        <v>469</v>
      </c>
      <c r="T123" s="127"/>
      <c r="U123" s="127" t="s">
        <v>470</v>
      </c>
      <c r="V123" s="127">
        <v>18685886809</v>
      </c>
      <c r="W123" s="127" t="s">
        <v>565</v>
      </c>
      <c r="X123" s="127" t="s">
        <v>566</v>
      </c>
      <c r="Y123" s="127" t="s">
        <v>567</v>
      </c>
      <c r="Z123" s="127" t="s">
        <v>568</v>
      </c>
      <c r="AA123" s="128">
        <v>1027.598</v>
      </c>
      <c r="AB123" s="128">
        <v>1.63</v>
      </c>
      <c r="AC123" s="128">
        <v>1.63</v>
      </c>
      <c r="AD123" s="128"/>
      <c r="AE123" s="127" t="s">
        <v>474</v>
      </c>
      <c r="AF123" s="128"/>
      <c r="AG123" s="128"/>
      <c r="AH123" s="128"/>
      <c r="AI123" s="128"/>
      <c r="AJ123" s="128"/>
      <c r="AK123" s="128"/>
      <c r="AL123" s="128"/>
      <c r="AM123" s="128"/>
    </row>
    <row r="124" customHeight="1" spans="1:39">
      <c r="A124" s="127" t="s">
        <v>39</v>
      </c>
      <c r="B124" s="127" t="s">
        <v>40</v>
      </c>
      <c r="C124" s="127" t="s">
        <v>41</v>
      </c>
      <c r="D124" s="127" t="s">
        <v>368</v>
      </c>
      <c r="E124" s="127"/>
      <c r="F124" s="127" t="s">
        <v>43</v>
      </c>
      <c r="G124" s="127" t="s">
        <v>44</v>
      </c>
      <c r="H124" s="127" t="s">
        <v>45</v>
      </c>
      <c r="I124" s="127">
        <v>7001221</v>
      </c>
      <c r="J124" s="127" t="s">
        <v>46</v>
      </c>
      <c r="K124" s="127">
        <v>13656706121</v>
      </c>
      <c r="L124" s="127" t="s">
        <v>313</v>
      </c>
      <c r="M124" s="127"/>
      <c r="N124" s="127" t="s">
        <v>314</v>
      </c>
      <c r="O124" s="127">
        <v>7001125</v>
      </c>
      <c r="P124" s="127" t="s">
        <v>315</v>
      </c>
      <c r="Q124" s="127">
        <v>19805706600</v>
      </c>
      <c r="R124" s="127" t="s">
        <v>468</v>
      </c>
      <c r="S124" s="127" t="s">
        <v>469</v>
      </c>
      <c r="T124" s="127"/>
      <c r="U124" s="127" t="s">
        <v>470</v>
      </c>
      <c r="V124" s="127">
        <v>18685886809</v>
      </c>
      <c r="W124" s="127" t="s">
        <v>569</v>
      </c>
      <c r="X124" s="127" t="s">
        <v>445</v>
      </c>
      <c r="Y124" s="127" t="s">
        <v>570</v>
      </c>
      <c r="Z124" s="127" t="s">
        <v>571</v>
      </c>
      <c r="AA124" s="128">
        <v>1027.598</v>
      </c>
      <c r="AB124" s="128">
        <v>10.48</v>
      </c>
      <c r="AC124" s="128">
        <v>10.48</v>
      </c>
      <c r="AD124" s="128"/>
      <c r="AE124" s="127" t="s">
        <v>474</v>
      </c>
      <c r="AF124" s="128"/>
      <c r="AG124" s="128"/>
      <c r="AH124" s="128"/>
      <c r="AI124" s="128"/>
      <c r="AJ124" s="128"/>
      <c r="AK124" s="128"/>
      <c r="AL124" s="128"/>
      <c r="AM124" s="128"/>
    </row>
    <row r="125" customHeight="1" spans="1:39">
      <c r="A125" s="127" t="s">
        <v>39</v>
      </c>
      <c r="B125" s="127" t="s">
        <v>40</v>
      </c>
      <c r="C125" s="127" t="s">
        <v>41</v>
      </c>
      <c r="D125" s="127" t="s">
        <v>368</v>
      </c>
      <c r="E125" s="127"/>
      <c r="F125" s="127" t="s">
        <v>43</v>
      </c>
      <c r="G125" s="127" t="s">
        <v>44</v>
      </c>
      <c r="H125" s="127" t="s">
        <v>45</v>
      </c>
      <c r="I125" s="127">
        <v>7001221</v>
      </c>
      <c r="J125" s="127" t="s">
        <v>46</v>
      </c>
      <c r="K125" s="127">
        <v>13656706121</v>
      </c>
      <c r="L125" s="127" t="s">
        <v>313</v>
      </c>
      <c r="M125" s="127"/>
      <c r="N125" s="127" t="s">
        <v>314</v>
      </c>
      <c r="O125" s="127">
        <v>7001125</v>
      </c>
      <c r="P125" s="127" t="s">
        <v>315</v>
      </c>
      <c r="Q125" s="127">
        <v>19805706600</v>
      </c>
      <c r="R125" s="127" t="s">
        <v>468</v>
      </c>
      <c r="S125" s="127" t="s">
        <v>469</v>
      </c>
      <c r="T125" s="127"/>
      <c r="U125" s="127" t="s">
        <v>470</v>
      </c>
      <c r="V125" s="127">
        <v>18685886809</v>
      </c>
      <c r="W125" s="127" t="s">
        <v>572</v>
      </c>
      <c r="X125" s="127" t="s">
        <v>573</v>
      </c>
      <c r="Y125" s="127" t="s">
        <v>574</v>
      </c>
      <c r="Z125" s="127" t="s">
        <v>575</v>
      </c>
      <c r="AA125" s="128">
        <v>1027.598</v>
      </c>
      <c r="AB125" s="128">
        <v>69.18</v>
      </c>
      <c r="AC125" s="128">
        <v>68.96</v>
      </c>
      <c r="AD125" s="128"/>
      <c r="AE125" s="127" t="s">
        <v>474</v>
      </c>
      <c r="AF125" s="128"/>
      <c r="AG125" s="128"/>
      <c r="AH125" s="128"/>
      <c r="AI125" s="128"/>
      <c r="AJ125" s="128"/>
      <c r="AK125" s="128"/>
      <c r="AL125" s="128"/>
      <c r="AM125" s="128"/>
    </row>
    <row r="126" customHeight="1" spans="1:39">
      <c r="A126" s="127" t="s">
        <v>39</v>
      </c>
      <c r="B126" s="127" t="s">
        <v>40</v>
      </c>
      <c r="C126" s="127" t="s">
        <v>41</v>
      </c>
      <c r="D126" s="127" t="s">
        <v>368</v>
      </c>
      <c r="E126" s="127"/>
      <c r="F126" s="127" t="s">
        <v>43</v>
      </c>
      <c r="G126" s="127" t="s">
        <v>44</v>
      </c>
      <c r="H126" s="127" t="s">
        <v>45</v>
      </c>
      <c r="I126" s="127">
        <v>7001221</v>
      </c>
      <c r="J126" s="127" t="s">
        <v>46</v>
      </c>
      <c r="K126" s="127">
        <v>13656706121</v>
      </c>
      <c r="L126" s="127" t="s">
        <v>313</v>
      </c>
      <c r="M126" s="127"/>
      <c r="N126" s="127" t="s">
        <v>314</v>
      </c>
      <c r="O126" s="127">
        <v>7001125</v>
      </c>
      <c r="P126" s="127" t="s">
        <v>315</v>
      </c>
      <c r="Q126" s="127">
        <v>19805706600</v>
      </c>
      <c r="R126" s="127" t="s">
        <v>468</v>
      </c>
      <c r="S126" s="127" t="s">
        <v>469</v>
      </c>
      <c r="T126" s="127"/>
      <c r="U126" s="127" t="s">
        <v>470</v>
      </c>
      <c r="V126" s="127">
        <v>18685886809</v>
      </c>
      <c r="W126" s="127" t="s">
        <v>576</v>
      </c>
      <c r="X126" s="127" t="s">
        <v>577</v>
      </c>
      <c r="Y126" s="127" t="s">
        <v>578</v>
      </c>
      <c r="Z126" s="127" t="s">
        <v>579</v>
      </c>
      <c r="AA126" s="128">
        <v>1027.598</v>
      </c>
      <c r="AB126" s="128">
        <v>55.12</v>
      </c>
      <c r="AC126" s="128">
        <v>55.12</v>
      </c>
      <c r="AD126" s="128"/>
      <c r="AE126" s="127" t="s">
        <v>474</v>
      </c>
      <c r="AF126" s="128"/>
      <c r="AG126" s="128"/>
      <c r="AH126" s="128"/>
      <c r="AI126" s="128"/>
      <c r="AJ126" s="128"/>
      <c r="AK126" s="128"/>
      <c r="AL126" s="128"/>
      <c r="AM126" s="128"/>
    </row>
    <row r="127" customHeight="1" spans="1:39">
      <c r="A127" s="127" t="s">
        <v>39</v>
      </c>
      <c r="B127" s="127" t="s">
        <v>40</v>
      </c>
      <c r="C127" s="127" t="s">
        <v>41</v>
      </c>
      <c r="D127" s="127" t="s">
        <v>368</v>
      </c>
      <c r="E127" s="127"/>
      <c r="F127" s="127" t="s">
        <v>43</v>
      </c>
      <c r="G127" s="127" t="s">
        <v>44</v>
      </c>
      <c r="H127" s="127" t="s">
        <v>45</v>
      </c>
      <c r="I127" s="127">
        <v>7001221</v>
      </c>
      <c r="J127" s="127" t="s">
        <v>46</v>
      </c>
      <c r="K127" s="127">
        <v>13656706121</v>
      </c>
      <c r="L127" s="127" t="s">
        <v>313</v>
      </c>
      <c r="M127" s="127"/>
      <c r="N127" s="127" t="s">
        <v>314</v>
      </c>
      <c r="O127" s="127">
        <v>7001125</v>
      </c>
      <c r="P127" s="127" t="s">
        <v>315</v>
      </c>
      <c r="Q127" s="127">
        <v>19805706600</v>
      </c>
      <c r="R127" s="127" t="s">
        <v>468</v>
      </c>
      <c r="S127" s="127" t="s">
        <v>469</v>
      </c>
      <c r="T127" s="127"/>
      <c r="U127" s="127" t="s">
        <v>470</v>
      </c>
      <c r="V127" s="127">
        <v>18685886809</v>
      </c>
      <c r="W127" s="127" t="s">
        <v>580</v>
      </c>
      <c r="X127" s="127" t="s">
        <v>581</v>
      </c>
      <c r="Y127" s="127" t="s">
        <v>582</v>
      </c>
      <c r="Z127" s="127" t="s">
        <v>583</v>
      </c>
      <c r="AA127" s="128">
        <v>1027.598</v>
      </c>
      <c r="AB127" s="128">
        <v>25.75</v>
      </c>
      <c r="AC127" s="128">
        <v>25.75</v>
      </c>
      <c r="AD127" s="128"/>
      <c r="AE127" s="127" t="s">
        <v>474</v>
      </c>
      <c r="AF127" s="128"/>
      <c r="AG127" s="128"/>
      <c r="AH127" s="128"/>
      <c r="AI127" s="128"/>
      <c r="AJ127" s="128"/>
      <c r="AK127" s="128"/>
      <c r="AL127" s="128"/>
      <c r="AM127" s="128"/>
    </row>
    <row r="128" customHeight="1" spans="1:39">
      <c r="A128" s="127" t="s">
        <v>39</v>
      </c>
      <c r="B128" s="127" t="s">
        <v>40</v>
      </c>
      <c r="C128" s="127" t="s">
        <v>41</v>
      </c>
      <c r="D128" s="127" t="s">
        <v>368</v>
      </c>
      <c r="E128" s="127"/>
      <c r="F128" s="127" t="s">
        <v>43</v>
      </c>
      <c r="G128" s="127" t="s">
        <v>44</v>
      </c>
      <c r="H128" s="127" t="s">
        <v>45</v>
      </c>
      <c r="I128" s="127">
        <v>7001221</v>
      </c>
      <c r="J128" s="127" t="s">
        <v>46</v>
      </c>
      <c r="K128" s="127">
        <v>13656706121</v>
      </c>
      <c r="L128" s="127" t="s">
        <v>313</v>
      </c>
      <c r="M128" s="127"/>
      <c r="N128" s="127" t="s">
        <v>314</v>
      </c>
      <c r="O128" s="127">
        <v>7001125</v>
      </c>
      <c r="P128" s="127" t="s">
        <v>315</v>
      </c>
      <c r="Q128" s="127">
        <v>19805706600</v>
      </c>
      <c r="R128" s="127" t="s">
        <v>468</v>
      </c>
      <c r="S128" s="127" t="s">
        <v>469</v>
      </c>
      <c r="T128" s="127"/>
      <c r="U128" s="127" t="s">
        <v>470</v>
      </c>
      <c r="V128" s="127">
        <v>18685886809</v>
      </c>
      <c r="W128" s="127" t="s">
        <v>584</v>
      </c>
      <c r="X128" s="127" t="s">
        <v>585</v>
      </c>
      <c r="Y128" s="127" t="s">
        <v>586</v>
      </c>
      <c r="Z128" s="127" t="s">
        <v>587</v>
      </c>
      <c r="AA128" s="128">
        <v>1027.598</v>
      </c>
      <c r="AB128" s="128">
        <v>10.62</v>
      </c>
      <c r="AC128" s="128">
        <v>11.22</v>
      </c>
      <c r="AD128" s="128"/>
      <c r="AE128" s="127" t="s">
        <v>474</v>
      </c>
      <c r="AF128" s="128"/>
      <c r="AG128" s="128"/>
      <c r="AH128" s="128"/>
      <c r="AI128" s="128"/>
      <c r="AJ128" s="128"/>
      <c r="AK128" s="128"/>
      <c r="AL128" s="128"/>
      <c r="AM128" s="128"/>
    </row>
    <row r="129" customHeight="1" spans="1:39">
      <c r="A129" s="127" t="s">
        <v>39</v>
      </c>
      <c r="B129" s="127" t="s">
        <v>40</v>
      </c>
      <c r="C129" s="127" t="s">
        <v>41</v>
      </c>
      <c r="D129" s="127" t="s">
        <v>368</v>
      </c>
      <c r="E129" s="127"/>
      <c r="F129" s="127" t="s">
        <v>43</v>
      </c>
      <c r="G129" s="127" t="s">
        <v>44</v>
      </c>
      <c r="H129" s="127" t="s">
        <v>45</v>
      </c>
      <c r="I129" s="127">
        <v>7001221</v>
      </c>
      <c r="J129" s="127" t="s">
        <v>46</v>
      </c>
      <c r="K129" s="127">
        <v>13656706121</v>
      </c>
      <c r="L129" s="127" t="s">
        <v>313</v>
      </c>
      <c r="M129" s="127"/>
      <c r="N129" s="127" t="s">
        <v>314</v>
      </c>
      <c r="O129" s="127">
        <v>7001125</v>
      </c>
      <c r="P129" s="127" t="s">
        <v>315</v>
      </c>
      <c r="Q129" s="127">
        <v>19805706600</v>
      </c>
      <c r="R129" s="127" t="s">
        <v>468</v>
      </c>
      <c r="S129" s="127" t="s">
        <v>469</v>
      </c>
      <c r="T129" s="127"/>
      <c r="U129" s="127" t="s">
        <v>470</v>
      </c>
      <c r="V129" s="127">
        <v>18685886809</v>
      </c>
      <c r="W129" s="127" t="s">
        <v>588</v>
      </c>
      <c r="X129" s="127" t="s">
        <v>589</v>
      </c>
      <c r="Y129" s="127" t="s">
        <v>590</v>
      </c>
      <c r="Z129" s="127" t="s">
        <v>591</v>
      </c>
      <c r="AA129" s="128">
        <v>1027.598</v>
      </c>
      <c r="AB129" s="128">
        <v>35.16</v>
      </c>
      <c r="AC129" s="128">
        <v>35.16</v>
      </c>
      <c r="AD129" s="128"/>
      <c r="AE129" s="127" t="s">
        <v>474</v>
      </c>
      <c r="AF129" s="128"/>
      <c r="AG129" s="128"/>
      <c r="AH129" s="128"/>
      <c r="AI129" s="128"/>
      <c r="AJ129" s="128"/>
      <c r="AK129" s="128"/>
      <c r="AL129" s="128"/>
      <c r="AM129" s="128"/>
    </row>
    <row r="130" customHeight="1" spans="1:39">
      <c r="A130" s="127" t="s">
        <v>39</v>
      </c>
      <c r="B130" s="127" t="s">
        <v>40</v>
      </c>
      <c r="C130" s="127" t="s">
        <v>41</v>
      </c>
      <c r="D130" s="127" t="s">
        <v>368</v>
      </c>
      <c r="E130" s="127"/>
      <c r="F130" s="127" t="s">
        <v>43</v>
      </c>
      <c r="G130" s="127" t="s">
        <v>44</v>
      </c>
      <c r="H130" s="127" t="s">
        <v>45</v>
      </c>
      <c r="I130" s="127">
        <v>7001221</v>
      </c>
      <c r="J130" s="127" t="s">
        <v>46</v>
      </c>
      <c r="K130" s="127">
        <v>13656706121</v>
      </c>
      <c r="L130" s="127" t="s">
        <v>313</v>
      </c>
      <c r="M130" s="127"/>
      <c r="N130" s="127" t="s">
        <v>314</v>
      </c>
      <c r="O130" s="127">
        <v>7001125</v>
      </c>
      <c r="P130" s="127" t="s">
        <v>315</v>
      </c>
      <c r="Q130" s="127">
        <v>19805706600</v>
      </c>
      <c r="R130" s="127" t="s">
        <v>468</v>
      </c>
      <c r="S130" s="127" t="s">
        <v>469</v>
      </c>
      <c r="T130" s="127"/>
      <c r="U130" s="127" t="s">
        <v>470</v>
      </c>
      <c r="V130" s="127">
        <v>18685886809</v>
      </c>
      <c r="W130" s="127" t="s">
        <v>592</v>
      </c>
      <c r="X130" s="127" t="s">
        <v>593</v>
      </c>
      <c r="Y130" s="127" t="s">
        <v>594</v>
      </c>
      <c r="Z130" s="127" t="s">
        <v>595</v>
      </c>
      <c r="AA130" s="128">
        <v>1027.598</v>
      </c>
      <c r="AB130" s="128">
        <v>11.82</v>
      </c>
      <c r="AC130" s="128">
        <v>11.82</v>
      </c>
      <c r="AD130" s="128"/>
      <c r="AE130" s="127" t="s">
        <v>474</v>
      </c>
      <c r="AF130" s="128"/>
      <c r="AG130" s="128"/>
      <c r="AH130" s="128"/>
      <c r="AI130" s="128"/>
      <c r="AJ130" s="128"/>
      <c r="AK130" s="128"/>
      <c r="AL130" s="128"/>
      <c r="AM130" s="128"/>
    </row>
    <row r="131" customHeight="1" spans="1:39">
      <c r="A131" s="127" t="s">
        <v>39</v>
      </c>
      <c r="B131" s="127" t="s">
        <v>40</v>
      </c>
      <c r="C131" s="127" t="s">
        <v>41</v>
      </c>
      <c r="D131" s="127" t="s">
        <v>368</v>
      </c>
      <c r="E131" s="127"/>
      <c r="F131" s="127" t="s">
        <v>43</v>
      </c>
      <c r="G131" s="127" t="s">
        <v>44</v>
      </c>
      <c r="H131" s="127" t="s">
        <v>45</v>
      </c>
      <c r="I131" s="127">
        <v>7001221</v>
      </c>
      <c r="J131" s="127" t="s">
        <v>46</v>
      </c>
      <c r="K131" s="127">
        <v>13656706121</v>
      </c>
      <c r="L131" s="127" t="s">
        <v>313</v>
      </c>
      <c r="M131" s="127"/>
      <c r="N131" s="127" t="s">
        <v>314</v>
      </c>
      <c r="O131" s="127">
        <v>7001125</v>
      </c>
      <c r="P131" s="127" t="s">
        <v>315</v>
      </c>
      <c r="Q131" s="127">
        <v>19805706600</v>
      </c>
      <c r="R131" s="127" t="s">
        <v>468</v>
      </c>
      <c r="S131" s="127" t="s">
        <v>469</v>
      </c>
      <c r="T131" s="127"/>
      <c r="U131" s="127" t="s">
        <v>470</v>
      </c>
      <c r="V131" s="127">
        <v>18685886809</v>
      </c>
      <c r="W131" s="127" t="s">
        <v>596</v>
      </c>
      <c r="X131" s="127" t="s">
        <v>597</v>
      </c>
      <c r="Y131" s="127" t="s">
        <v>598</v>
      </c>
      <c r="Z131" s="127" t="s">
        <v>599</v>
      </c>
      <c r="AA131" s="128">
        <v>1027.598</v>
      </c>
      <c r="AB131" s="128">
        <v>30.1</v>
      </c>
      <c r="AC131" s="128">
        <v>30.1</v>
      </c>
      <c r="AD131" s="128"/>
      <c r="AE131" s="127" t="s">
        <v>474</v>
      </c>
      <c r="AF131" s="128"/>
      <c r="AG131" s="128"/>
      <c r="AH131" s="128"/>
      <c r="AI131" s="128"/>
      <c r="AJ131" s="128"/>
      <c r="AK131" s="128"/>
      <c r="AL131" s="128"/>
      <c r="AM131" s="128"/>
    </row>
    <row r="132" customHeight="1" spans="1:39">
      <c r="A132" s="127" t="s">
        <v>39</v>
      </c>
      <c r="B132" s="127" t="s">
        <v>40</v>
      </c>
      <c r="C132" s="127" t="s">
        <v>41</v>
      </c>
      <c r="D132" s="127" t="s">
        <v>368</v>
      </c>
      <c r="E132" s="127"/>
      <c r="F132" s="127" t="s">
        <v>43</v>
      </c>
      <c r="G132" s="127" t="s">
        <v>44</v>
      </c>
      <c r="H132" s="127" t="s">
        <v>45</v>
      </c>
      <c r="I132" s="127">
        <v>7001221</v>
      </c>
      <c r="J132" s="127" t="s">
        <v>46</v>
      </c>
      <c r="K132" s="127">
        <v>13656706121</v>
      </c>
      <c r="L132" s="127" t="s">
        <v>313</v>
      </c>
      <c r="M132" s="127"/>
      <c r="N132" s="127" t="s">
        <v>314</v>
      </c>
      <c r="O132" s="127">
        <v>7001125</v>
      </c>
      <c r="P132" s="127" t="s">
        <v>315</v>
      </c>
      <c r="Q132" s="127">
        <v>19805706600</v>
      </c>
      <c r="R132" s="127" t="s">
        <v>468</v>
      </c>
      <c r="S132" s="127" t="s">
        <v>469</v>
      </c>
      <c r="T132" s="127"/>
      <c r="U132" s="127" t="s">
        <v>470</v>
      </c>
      <c r="V132" s="127">
        <v>18685886809</v>
      </c>
      <c r="W132" s="127" t="s">
        <v>600</v>
      </c>
      <c r="X132" s="127" t="s">
        <v>601</v>
      </c>
      <c r="Y132" s="127" t="s">
        <v>602</v>
      </c>
      <c r="Z132" s="127" t="s">
        <v>603</v>
      </c>
      <c r="AA132" s="128">
        <v>1027.598</v>
      </c>
      <c r="AB132" s="128">
        <v>6.91</v>
      </c>
      <c r="AC132" s="128">
        <v>6.91</v>
      </c>
      <c r="AD132" s="128"/>
      <c r="AE132" s="127" t="s">
        <v>474</v>
      </c>
      <c r="AF132" s="128"/>
      <c r="AG132" s="128"/>
      <c r="AH132" s="128"/>
      <c r="AI132" s="128"/>
      <c r="AJ132" s="128"/>
      <c r="AK132" s="128"/>
      <c r="AL132" s="128"/>
      <c r="AM132" s="128"/>
    </row>
    <row r="133" customHeight="1" spans="1:39">
      <c r="A133" s="127" t="s">
        <v>39</v>
      </c>
      <c r="B133" s="127" t="s">
        <v>40</v>
      </c>
      <c r="C133" s="127" t="s">
        <v>41</v>
      </c>
      <c r="D133" s="127" t="s">
        <v>368</v>
      </c>
      <c r="E133" s="127"/>
      <c r="F133" s="127" t="s">
        <v>43</v>
      </c>
      <c r="G133" s="127" t="s">
        <v>44</v>
      </c>
      <c r="H133" s="127" t="s">
        <v>45</v>
      </c>
      <c r="I133" s="127">
        <v>7001221</v>
      </c>
      <c r="J133" s="127" t="s">
        <v>46</v>
      </c>
      <c r="K133" s="127">
        <v>13656706121</v>
      </c>
      <c r="L133" s="127" t="s">
        <v>313</v>
      </c>
      <c r="M133" s="127"/>
      <c r="N133" s="127" t="s">
        <v>314</v>
      </c>
      <c r="O133" s="127">
        <v>7001125</v>
      </c>
      <c r="P133" s="127" t="s">
        <v>315</v>
      </c>
      <c r="Q133" s="127">
        <v>19805706600</v>
      </c>
      <c r="R133" s="127" t="s">
        <v>468</v>
      </c>
      <c r="S133" s="127" t="s">
        <v>469</v>
      </c>
      <c r="T133" s="127"/>
      <c r="U133" s="127" t="s">
        <v>470</v>
      </c>
      <c r="V133" s="127">
        <v>18685886809</v>
      </c>
      <c r="W133" s="127" t="s">
        <v>604</v>
      </c>
      <c r="X133" s="127" t="s">
        <v>605</v>
      </c>
      <c r="Y133" s="127" t="s">
        <v>606</v>
      </c>
      <c r="Z133" s="127" t="s">
        <v>607</v>
      </c>
      <c r="AA133" s="128">
        <v>1027.598</v>
      </c>
      <c r="AB133" s="128">
        <v>99.75</v>
      </c>
      <c r="AC133" s="128">
        <v>99.75</v>
      </c>
      <c r="AD133" s="128"/>
      <c r="AE133" s="127" t="s">
        <v>474</v>
      </c>
      <c r="AF133" s="128"/>
      <c r="AG133" s="128"/>
      <c r="AH133" s="128"/>
      <c r="AI133" s="128"/>
      <c r="AJ133" s="128"/>
      <c r="AK133" s="128"/>
      <c r="AL133" s="128"/>
      <c r="AM133" s="128"/>
    </row>
    <row r="134" customHeight="1" spans="1:39">
      <c r="A134" s="127" t="s">
        <v>39</v>
      </c>
      <c r="B134" s="127" t="s">
        <v>40</v>
      </c>
      <c r="C134" s="127" t="s">
        <v>41</v>
      </c>
      <c r="D134" s="127" t="s">
        <v>368</v>
      </c>
      <c r="E134" s="127"/>
      <c r="F134" s="127" t="s">
        <v>43</v>
      </c>
      <c r="G134" s="127" t="s">
        <v>44</v>
      </c>
      <c r="H134" s="127" t="s">
        <v>45</v>
      </c>
      <c r="I134" s="127">
        <v>7001221</v>
      </c>
      <c r="J134" s="127" t="s">
        <v>46</v>
      </c>
      <c r="K134" s="127">
        <v>13656706121</v>
      </c>
      <c r="L134" s="127" t="s">
        <v>313</v>
      </c>
      <c r="M134" s="127"/>
      <c r="N134" s="127" t="s">
        <v>314</v>
      </c>
      <c r="O134" s="127">
        <v>7001125</v>
      </c>
      <c r="P134" s="127" t="s">
        <v>315</v>
      </c>
      <c r="Q134" s="127">
        <v>19805706600</v>
      </c>
      <c r="R134" s="127" t="s">
        <v>468</v>
      </c>
      <c r="S134" s="127" t="s">
        <v>469</v>
      </c>
      <c r="T134" s="127"/>
      <c r="U134" s="127" t="s">
        <v>470</v>
      </c>
      <c r="V134" s="127">
        <v>18685886809</v>
      </c>
      <c r="W134" s="127" t="s">
        <v>608</v>
      </c>
      <c r="X134" s="127" t="s">
        <v>609</v>
      </c>
      <c r="Y134" s="127" t="s">
        <v>610</v>
      </c>
      <c r="Z134" s="127" t="s">
        <v>611</v>
      </c>
      <c r="AA134" s="128">
        <v>1027.598</v>
      </c>
      <c r="AB134" s="128">
        <v>3.64</v>
      </c>
      <c r="AC134" s="128">
        <v>3.64</v>
      </c>
      <c r="AD134" s="128"/>
      <c r="AE134" s="127" t="s">
        <v>474</v>
      </c>
      <c r="AF134" s="128"/>
      <c r="AG134" s="128"/>
      <c r="AH134" s="128"/>
      <c r="AI134" s="128"/>
      <c r="AJ134" s="128"/>
      <c r="AK134" s="128"/>
      <c r="AL134" s="128"/>
      <c r="AM134" s="128"/>
    </row>
    <row r="135" customHeight="1" spans="1:39">
      <c r="A135" s="127" t="s">
        <v>39</v>
      </c>
      <c r="B135" s="127" t="s">
        <v>40</v>
      </c>
      <c r="C135" s="127" t="s">
        <v>41</v>
      </c>
      <c r="D135" s="127" t="s">
        <v>368</v>
      </c>
      <c r="E135" s="127"/>
      <c r="F135" s="127" t="s">
        <v>43</v>
      </c>
      <c r="G135" s="127" t="s">
        <v>44</v>
      </c>
      <c r="H135" s="127" t="s">
        <v>45</v>
      </c>
      <c r="I135" s="127">
        <v>7001221</v>
      </c>
      <c r="J135" s="127" t="s">
        <v>46</v>
      </c>
      <c r="K135" s="127">
        <v>13656706121</v>
      </c>
      <c r="L135" s="127" t="s">
        <v>313</v>
      </c>
      <c r="M135" s="127"/>
      <c r="N135" s="127" t="s">
        <v>314</v>
      </c>
      <c r="O135" s="127">
        <v>7001125</v>
      </c>
      <c r="P135" s="127" t="s">
        <v>315</v>
      </c>
      <c r="Q135" s="127">
        <v>19805706600</v>
      </c>
      <c r="R135" s="127" t="s">
        <v>468</v>
      </c>
      <c r="S135" s="127" t="s">
        <v>469</v>
      </c>
      <c r="T135" s="127"/>
      <c r="U135" s="127" t="s">
        <v>470</v>
      </c>
      <c r="V135" s="127">
        <v>18685886809</v>
      </c>
      <c r="W135" s="127" t="s">
        <v>612</v>
      </c>
      <c r="X135" s="127" t="s">
        <v>613</v>
      </c>
      <c r="Y135" s="127" t="s">
        <v>614</v>
      </c>
      <c r="Z135" s="127" t="s">
        <v>615</v>
      </c>
      <c r="AA135" s="128">
        <v>1027.598</v>
      </c>
      <c r="AB135" s="128">
        <v>14.64</v>
      </c>
      <c r="AC135" s="128">
        <v>14.23</v>
      </c>
      <c r="AD135" s="128"/>
      <c r="AE135" s="127" t="s">
        <v>474</v>
      </c>
      <c r="AF135" s="128"/>
      <c r="AG135" s="128"/>
      <c r="AH135" s="128"/>
      <c r="AI135" s="128"/>
      <c r="AJ135" s="128"/>
      <c r="AK135" s="128"/>
      <c r="AL135" s="128"/>
      <c r="AM135" s="128"/>
    </row>
    <row r="136" customHeight="1" spans="1:39">
      <c r="A136" s="127" t="s">
        <v>39</v>
      </c>
      <c r="B136" s="127" t="s">
        <v>40</v>
      </c>
      <c r="C136" s="127" t="s">
        <v>41</v>
      </c>
      <c r="D136" s="127" t="s">
        <v>368</v>
      </c>
      <c r="E136" s="127"/>
      <c r="F136" s="127" t="s">
        <v>43</v>
      </c>
      <c r="G136" s="127" t="s">
        <v>44</v>
      </c>
      <c r="H136" s="127" t="s">
        <v>45</v>
      </c>
      <c r="I136" s="127">
        <v>7001221</v>
      </c>
      <c r="J136" s="127" t="s">
        <v>46</v>
      </c>
      <c r="K136" s="127">
        <v>13656706121</v>
      </c>
      <c r="L136" s="127" t="s">
        <v>313</v>
      </c>
      <c r="M136" s="127"/>
      <c r="N136" s="127" t="s">
        <v>314</v>
      </c>
      <c r="O136" s="127">
        <v>7001125</v>
      </c>
      <c r="P136" s="127" t="s">
        <v>315</v>
      </c>
      <c r="Q136" s="127">
        <v>19805706600</v>
      </c>
      <c r="R136" s="127" t="s">
        <v>468</v>
      </c>
      <c r="S136" s="127" t="s">
        <v>469</v>
      </c>
      <c r="T136" s="127"/>
      <c r="U136" s="127" t="s">
        <v>470</v>
      </c>
      <c r="V136" s="127">
        <v>18685886809</v>
      </c>
      <c r="W136" s="127" t="s">
        <v>616</v>
      </c>
      <c r="X136" s="127" t="s">
        <v>617</v>
      </c>
      <c r="Y136" s="127" t="s">
        <v>618</v>
      </c>
      <c r="Z136" s="127" t="s">
        <v>619</v>
      </c>
      <c r="AA136" s="128">
        <v>1027.598</v>
      </c>
      <c r="AB136" s="128">
        <v>37.92</v>
      </c>
      <c r="AC136" s="128">
        <v>37.92</v>
      </c>
      <c r="AD136" s="128"/>
      <c r="AE136" s="127" t="s">
        <v>474</v>
      </c>
      <c r="AF136" s="128"/>
      <c r="AG136" s="128"/>
      <c r="AH136" s="128"/>
      <c r="AI136" s="128"/>
      <c r="AJ136" s="128"/>
      <c r="AK136" s="128"/>
      <c r="AL136" s="128"/>
      <c r="AM136" s="128"/>
    </row>
    <row r="137" customHeight="1" spans="1:39">
      <c r="A137" s="127" t="s">
        <v>39</v>
      </c>
      <c r="B137" s="127" t="s">
        <v>40</v>
      </c>
      <c r="C137" s="127" t="s">
        <v>41</v>
      </c>
      <c r="D137" s="127" t="s">
        <v>368</v>
      </c>
      <c r="E137" s="127"/>
      <c r="F137" s="127" t="s">
        <v>43</v>
      </c>
      <c r="G137" s="127" t="s">
        <v>44</v>
      </c>
      <c r="H137" s="127" t="s">
        <v>45</v>
      </c>
      <c r="I137" s="127">
        <v>7001221</v>
      </c>
      <c r="J137" s="127" t="s">
        <v>46</v>
      </c>
      <c r="K137" s="127">
        <v>13656706121</v>
      </c>
      <c r="L137" s="127" t="s">
        <v>313</v>
      </c>
      <c r="M137" s="127"/>
      <c r="N137" s="127" t="s">
        <v>314</v>
      </c>
      <c r="O137" s="127">
        <v>7001125</v>
      </c>
      <c r="P137" s="127" t="s">
        <v>315</v>
      </c>
      <c r="Q137" s="127">
        <v>19805706600</v>
      </c>
      <c r="R137" s="127" t="s">
        <v>468</v>
      </c>
      <c r="S137" s="127" t="s">
        <v>469</v>
      </c>
      <c r="T137" s="127"/>
      <c r="U137" s="127" t="s">
        <v>470</v>
      </c>
      <c r="V137" s="127">
        <v>18685886809</v>
      </c>
      <c r="W137" s="127" t="s">
        <v>620</v>
      </c>
      <c r="X137" s="127" t="s">
        <v>621</v>
      </c>
      <c r="Y137" s="127" t="s">
        <v>622</v>
      </c>
      <c r="Z137" s="127" t="s">
        <v>623</v>
      </c>
      <c r="AA137" s="128">
        <v>1027.598</v>
      </c>
      <c r="AB137" s="128">
        <v>1.11</v>
      </c>
      <c r="AC137" s="128">
        <v>1.1</v>
      </c>
      <c r="AD137" s="128"/>
      <c r="AE137" s="127" t="s">
        <v>474</v>
      </c>
      <c r="AF137" s="128"/>
      <c r="AG137" s="128"/>
      <c r="AH137" s="128"/>
      <c r="AI137" s="128"/>
      <c r="AJ137" s="128"/>
      <c r="AK137" s="128"/>
      <c r="AL137" s="128"/>
      <c r="AM137" s="128"/>
    </row>
    <row r="138" customHeight="1" spans="1:39">
      <c r="A138" s="127" t="s">
        <v>39</v>
      </c>
      <c r="B138" s="127" t="s">
        <v>40</v>
      </c>
      <c r="C138" s="127" t="s">
        <v>41</v>
      </c>
      <c r="D138" s="127" t="s">
        <v>624</v>
      </c>
      <c r="E138" s="127"/>
      <c r="F138" s="127" t="s">
        <v>43</v>
      </c>
      <c r="G138" s="127" t="s">
        <v>44</v>
      </c>
      <c r="H138" s="127" t="s">
        <v>45</v>
      </c>
      <c r="I138" s="127">
        <v>7001221</v>
      </c>
      <c r="J138" s="127" t="s">
        <v>46</v>
      </c>
      <c r="K138" s="127">
        <v>13656706121</v>
      </c>
      <c r="L138" s="127" t="s">
        <v>625</v>
      </c>
      <c r="M138" s="127"/>
      <c r="N138" s="127" t="s">
        <v>626</v>
      </c>
      <c r="O138" s="127" t="s">
        <v>627</v>
      </c>
      <c r="P138" s="127" t="s">
        <v>628</v>
      </c>
      <c r="Q138" s="127">
        <v>13511426606</v>
      </c>
      <c r="R138" s="127" t="s">
        <v>629</v>
      </c>
      <c r="S138" s="127" t="s">
        <v>630</v>
      </c>
      <c r="T138" s="127"/>
      <c r="U138" s="127" t="s">
        <v>631</v>
      </c>
      <c r="V138" s="127">
        <v>18405791117</v>
      </c>
      <c r="W138" s="127" t="s">
        <v>632</v>
      </c>
      <c r="X138" s="127" t="s">
        <v>633</v>
      </c>
      <c r="Y138" s="127" t="s">
        <v>634</v>
      </c>
      <c r="Z138" s="127" t="s">
        <v>635</v>
      </c>
      <c r="AA138" s="128">
        <v>2392.78</v>
      </c>
      <c r="AB138" s="128">
        <v>277.98</v>
      </c>
      <c r="AC138" s="128">
        <v>263.94</v>
      </c>
      <c r="AD138" s="128"/>
      <c r="AE138" s="127" t="s">
        <v>355</v>
      </c>
      <c r="AF138" s="128"/>
      <c r="AG138" s="128"/>
      <c r="AH138" s="128"/>
      <c r="AI138" s="128"/>
      <c r="AJ138" s="128"/>
      <c r="AK138" s="128"/>
      <c r="AL138" s="128"/>
      <c r="AM138" s="128"/>
    </row>
    <row r="139" customHeight="1" spans="1:39">
      <c r="A139" s="127" t="s">
        <v>39</v>
      </c>
      <c r="B139" s="127" t="s">
        <v>40</v>
      </c>
      <c r="C139" s="127" t="s">
        <v>41</v>
      </c>
      <c r="D139" s="127" t="s">
        <v>624</v>
      </c>
      <c r="E139" s="127"/>
      <c r="F139" s="127" t="s">
        <v>43</v>
      </c>
      <c r="G139" s="127" t="s">
        <v>44</v>
      </c>
      <c r="H139" s="127" t="s">
        <v>45</v>
      </c>
      <c r="I139" s="127">
        <v>7001221</v>
      </c>
      <c r="J139" s="127" t="s">
        <v>46</v>
      </c>
      <c r="K139" s="127">
        <v>13656706121</v>
      </c>
      <c r="L139" s="127" t="s">
        <v>625</v>
      </c>
      <c r="M139" s="127"/>
      <c r="N139" s="127" t="s">
        <v>626</v>
      </c>
      <c r="O139" s="127" t="s">
        <v>627</v>
      </c>
      <c r="P139" s="127" t="s">
        <v>628</v>
      </c>
      <c r="Q139" s="127">
        <v>13511426606</v>
      </c>
      <c r="R139" s="127" t="s">
        <v>629</v>
      </c>
      <c r="S139" s="127" t="s">
        <v>630</v>
      </c>
      <c r="T139" s="127"/>
      <c r="U139" s="127" t="s">
        <v>631</v>
      </c>
      <c r="V139" s="127">
        <v>18405791117</v>
      </c>
      <c r="W139" s="127" t="s">
        <v>636</v>
      </c>
      <c r="X139" s="127" t="s">
        <v>637</v>
      </c>
      <c r="Y139" s="127" t="s">
        <v>638</v>
      </c>
      <c r="Z139" s="127" t="s">
        <v>639</v>
      </c>
      <c r="AA139" s="128">
        <v>41.304</v>
      </c>
      <c r="AB139" s="128">
        <v>40.71</v>
      </c>
      <c r="AC139" s="128">
        <v>39.22</v>
      </c>
      <c r="AD139" s="128"/>
      <c r="AE139" s="127" t="s">
        <v>640</v>
      </c>
      <c r="AF139" s="128"/>
      <c r="AG139" s="128"/>
      <c r="AH139" s="128"/>
      <c r="AI139" s="128"/>
      <c r="AJ139" s="128"/>
      <c r="AK139" s="128"/>
      <c r="AL139" s="128"/>
      <c r="AM139" s="128"/>
    </row>
    <row r="140" customHeight="1" spans="1:39">
      <c r="A140" s="127" t="s">
        <v>39</v>
      </c>
      <c r="B140" s="127" t="s">
        <v>40</v>
      </c>
      <c r="C140" s="127" t="s">
        <v>41</v>
      </c>
      <c r="D140" s="127" t="s">
        <v>624</v>
      </c>
      <c r="E140" s="127"/>
      <c r="F140" s="127" t="s">
        <v>43</v>
      </c>
      <c r="G140" s="127" t="s">
        <v>44</v>
      </c>
      <c r="H140" s="127" t="s">
        <v>45</v>
      </c>
      <c r="I140" s="127">
        <v>7001221</v>
      </c>
      <c r="J140" s="127" t="s">
        <v>46</v>
      </c>
      <c r="K140" s="127">
        <v>13656706121</v>
      </c>
      <c r="L140" s="127" t="s">
        <v>625</v>
      </c>
      <c r="M140" s="127"/>
      <c r="N140" s="127" t="s">
        <v>626</v>
      </c>
      <c r="O140" s="127" t="s">
        <v>627</v>
      </c>
      <c r="P140" s="127" t="s">
        <v>628</v>
      </c>
      <c r="Q140" s="127">
        <v>13511426606</v>
      </c>
      <c r="R140" s="127" t="s">
        <v>641</v>
      </c>
      <c r="S140" s="127" t="s">
        <v>642</v>
      </c>
      <c r="T140" s="127"/>
      <c r="U140" s="127" t="s">
        <v>643</v>
      </c>
      <c r="V140" s="127">
        <v>13757046168</v>
      </c>
      <c r="W140" s="127" t="s">
        <v>644</v>
      </c>
      <c r="X140" s="127" t="s">
        <v>645</v>
      </c>
      <c r="Y140" s="127" t="s">
        <v>646</v>
      </c>
      <c r="Z140" s="127" t="s">
        <v>647</v>
      </c>
      <c r="AA140" s="128">
        <v>62.01</v>
      </c>
      <c r="AB140" s="128">
        <v>7.28</v>
      </c>
      <c r="AC140" s="128">
        <v>6.03</v>
      </c>
      <c r="AD140" s="128"/>
      <c r="AE140" s="127" t="s">
        <v>648</v>
      </c>
      <c r="AF140" s="128"/>
      <c r="AG140" s="128"/>
      <c r="AH140" s="128"/>
      <c r="AI140" s="128"/>
      <c r="AJ140" s="128"/>
      <c r="AK140" s="128"/>
      <c r="AL140" s="128"/>
      <c r="AM140" s="128"/>
    </row>
    <row r="141" customHeight="1" spans="1:39">
      <c r="A141" s="127" t="s">
        <v>39</v>
      </c>
      <c r="B141" s="127" t="s">
        <v>40</v>
      </c>
      <c r="C141" s="127" t="s">
        <v>41</v>
      </c>
      <c r="D141" s="127" t="s">
        <v>624</v>
      </c>
      <c r="E141" s="127"/>
      <c r="F141" s="127" t="s">
        <v>43</v>
      </c>
      <c r="G141" s="127" t="s">
        <v>44</v>
      </c>
      <c r="H141" s="127" t="s">
        <v>45</v>
      </c>
      <c r="I141" s="127">
        <v>7001221</v>
      </c>
      <c r="J141" s="127" t="s">
        <v>46</v>
      </c>
      <c r="K141" s="127">
        <v>13656706121</v>
      </c>
      <c r="L141" s="127" t="s">
        <v>625</v>
      </c>
      <c r="M141" s="127"/>
      <c r="N141" s="127" t="s">
        <v>626</v>
      </c>
      <c r="O141" s="127" t="s">
        <v>627</v>
      </c>
      <c r="P141" s="127" t="s">
        <v>628</v>
      </c>
      <c r="Q141" s="127">
        <v>13511426606</v>
      </c>
      <c r="R141" s="127" t="s">
        <v>641</v>
      </c>
      <c r="S141" s="127" t="s">
        <v>642</v>
      </c>
      <c r="T141" s="127"/>
      <c r="U141" s="127" t="s">
        <v>643</v>
      </c>
      <c r="V141" s="127">
        <v>13757046168</v>
      </c>
      <c r="W141" s="127" t="s">
        <v>644</v>
      </c>
      <c r="X141" s="127" t="s">
        <v>645</v>
      </c>
      <c r="Y141" s="127" t="s">
        <v>649</v>
      </c>
      <c r="Z141" s="127" t="s">
        <v>650</v>
      </c>
      <c r="AA141" s="128">
        <v>2392.78</v>
      </c>
      <c r="AB141" s="128">
        <v>12</v>
      </c>
      <c r="AC141" s="128">
        <v>12</v>
      </c>
      <c r="AD141" s="128"/>
      <c r="AE141" s="127" t="s">
        <v>355</v>
      </c>
      <c r="AF141" s="128"/>
      <c r="AG141" s="128"/>
      <c r="AH141" s="128"/>
      <c r="AI141" s="128"/>
      <c r="AJ141" s="128"/>
      <c r="AK141" s="128"/>
      <c r="AL141" s="128"/>
      <c r="AM141" s="128"/>
    </row>
    <row r="142" customHeight="1" spans="1:39">
      <c r="A142" s="127" t="s">
        <v>39</v>
      </c>
      <c r="B142" s="127" t="s">
        <v>40</v>
      </c>
      <c r="C142" s="127" t="s">
        <v>41</v>
      </c>
      <c r="D142" s="127" t="s">
        <v>624</v>
      </c>
      <c r="E142" s="127"/>
      <c r="F142" s="127" t="s">
        <v>43</v>
      </c>
      <c r="G142" s="127" t="s">
        <v>44</v>
      </c>
      <c r="H142" s="127" t="s">
        <v>45</v>
      </c>
      <c r="I142" s="127">
        <v>7001221</v>
      </c>
      <c r="J142" s="127" t="s">
        <v>46</v>
      </c>
      <c r="K142" s="127">
        <v>13656706121</v>
      </c>
      <c r="L142" s="127" t="s">
        <v>625</v>
      </c>
      <c r="M142" s="127"/>
      <c r="N142" s="127" t="s">
        <v>626</v>
      </c>
      <c r="O142" s="127" t="s">
        <v>627</v>
      </c>
      <c r="P142" s="127" t="s">
        <v>628</v>
      </c>
      <c r="Q142" s="127">
        <v>13511426606</v>
      </c>
      <c r="R142" s="127" t="s">
        <v>641</v>
      </c>
      <c r="S142" s="127" t="s">
        <v>642</v>
      </c>
      <c r="T142" s="127"/>
      <c r="U142" s="127" t="s">
        <v>643</v>
      </c>
      <c r="V142" s="127">
        <v>13757046168</v>
      </c>
      <c r="W142" s="127" t="s">
        <v>651</v>
      </c>
      <c r="X142" s="127" t="s">
        <v>652</v>
      </c>
      <c r="Y142" s="127" t="s">
        <v>653</v>
      </c>
      <c r="Z142" s="127" t="s">
        <v>654</v>
      </c>
      <c r="AA142" s="128">
        <v>2392.78</v>
      </c>
      <c r="AB142" s="128">
        <v>72.14</v>
      </c>
      <c r="AC142" s="128">
        <v>70.52</v>
      </c>
      <c r="AD142" s="128"/>
      <c r="AE142" s="127" t="s">
        <v>355</v>
      </c>
      <c r="AF142" s="128"/>
      <c r="AG142" s="128"/>
      <c r="AH142" s="128"/>
      <c r="AI142" s="128"/>
      <c r="AJ142" s="128"/>
      <c r="AK142" s="128"/>
      <c r="AL142" s="128"/>
      <c r="AM142" s="128"/>
    </row>
    <row r="143" customHeight="1" spans="1:39">
      <c r="A143" s="127" t="s">
        <v>39</v>
      </c>
      <c r="B143" s="127" t="s">
        <v>40</v>
      </c>
      <c r="C143" s="127" t="s">
        <v>41</v>
      </c>
      <c r="D143" s="127" t="s">
        <v>624</v>
      </c>
      <c r="E143" s="127"/>
      <c r="F143" s="127" t="s">
        <v>43</v>
      </c>
      <c r="G143" s="127" t="s">
        <v>44</v>
      </c>
      <c r="H143" s="127" t="s">
        <v>45</v>
      </c>
      <c r="I143" s="127">
        <v>7001221</v>
      </c>
      <c r="J143" s="127" t="s">
        <v>46</v>
      </c>
      <c r="K143" s="127">
        <v>13656706121</v>
      </c>
      <c r="L143" s="127" t="s">
        <v>625</v>
      </c>
      <c r="M143" s="127"/>
      <c r="N143" s="127" t="s">
        <v>626</v>
      </c>
      <c r="O143" s="127" t="s">
        <v>627</v>
      </c>
      <c r="P143" s="127" t="s">
        <v>628</v>
      </c>
      <c r="Q143" s="127">
        <v>13511426606</v>
      </c>
      <c r="R143" s="127" t="s">
        <v>641</v>
      </c>
      <c r="S143" s="127" t="s">
        <v>642</v>
      </c>
      <c r="T143" s="127"/>
      <c r="U143" s="127" t="s">
        <v>643</v>
      </c>
      <c r="V143" s="127">
        <v>13757046168</v>
      </c>
      <c r="W143" s="127" t="s">
        <v>655</v>
      </c>
      <c r="X143" s="127" t="s">
        <v>656</v>
      </c>
      <c r="Y143" s="127" t="s">
        <v>657</v>
      </c>
      <c r="Z143" s="127" t="s">
        <v>658</v>
      </c>
      <c r="AA143" s="128">
        <v>2392.78</v>
      </c>
      <c r="AB143" s="128">
        <v>272.29</v>
      </c>
      <c r="AC143" s="128">
        <v>265.74</v>
      </c>
      <c r="AD143" s="128"/>
      <c r="AE143" s="127" t="s">
        <v>355</v>
      </c>
      <c r="AF143" s="128"/>
      <c r="AG143" s="128"/>
      <c r="AH143" s="128"/>
      <c r="AI143" s="128"/>
      <c r="AJ143" s="128"/>
      <c r="AK143" s="128"/>
      <c r="AL143" s="128"/>
      <c r="AM143" s="128"/>
    </row>
    <row r="144" customHeight="1" spans="1:39">
      <c r="A144" s="127" t="s">
        <v>39</v>
      </c>
      <c r="B144" s="127" t="s">
        <v>40</v>
      </c>
      <c r="C144" s="127" t="s">
        <v>41</v>
      </c>
      <c r="D144" s="127" t="s">
        <v>624</v>
      </c>
      <c r="E144" s="127"/>
      <c r="F144" s="127" t="s">
        <v>43</v>
      </c>
      <c r="G144" s="127" t="s">
        <v>44</v>
      </c>
      <c r="H144" s="127" t="s">
        <v>45</v>
      </c>
      <c r="I144" s="127">
        <v>7001221</v>
      </c>
      <c r="J144" s="127" t="s">
        <v>46</v>
      </c>
      <c r="K144" s="127">
        <v>13656706121</v>
      </c>
      <c r="L144" s="127" t="s">
        <v>625</v>
      </c>
      <c r="M144" s="127"/>
      <c r="N144" s="127" t="s">
        <v>626</v>
      </c>
      <c r="O144" s="127" t="s">
        <v>627</v>
      </c>
      <c r="P144" s="127" t="s">
        <v>628</v>
      </c>
      <c r="Q144" s="127">
        <v>13511426606</v>
      </c>
      <c r="R144" s="127" t="s">
        <v>641</v>
      </c>
      <c r="S144" s="127" t="s">
        <v>642</v>
      </c>
      <c r="T144" s="127"/>
      <c r="U144" s="127" t="s">
        <v>643</v>
      </c>
      <c r="V144" s="127">
        <v>13757046168</v>
      </c>
      <c r="W144" s="127" t="s">
        <v>659</v>
      </c>
      <c r="X144" s="127" t="s">
        <v>660</v>
      </c>
      <c r="Y144" s="127" t="s">
        <v>661</v>
      </c>
      <c r="Z144" s="127" t="s">
        <v>662</v>
      </c>
      <c r="AA144" s="128">
        <v>2392.78</v>
      </c>
      <c r="AB144" s="128">
        <v>39.32</v>
      </c>
      <c r="AC144" s="128">
        <v>37.88</v>
      </c>
      <c r="AD144" s="128"/>
      <c r="AE144" s="127" t="s">
        <v>355</v>
      </c>
      <c r="AF144" s="128"/>
      <c r="AG144" s="128"/>
      <c r="AH144" s="128"/>
      <c r="AI144" s="128"/>
      <c r="AJ144" s="128"/>
      <c r="AK144" s="128"/>
      <c r="AL144" s="128"/>
      <c r="AM144" s="128"/>
    </row>
    <row r="145" customHeight="1" spans="1:39">
      <c r="A145" s="127" t="s">
        <v>39</v>
      </c>
      <c r="B145" s="127" t="s">
        <v>40</v>
      </c>
      <c r="C145" s="127" t="s">
        <v>41</v>
      </c>
      <c r="D145" s="127" t="s">
        <v>624</v>
      </c>
      <c r="E145" s="127"/>
      <c r="F145" s="127" t="s">
        <v>43</v>
      </c>
      <c r="G145" s="127" t="s">
        <v>44</v>
      </c>
      <c r="H145" s="127" t="s">
        <v>45</v>
      </c>
      <c r="I145" s="127">
        <v>7001221</v>
      </c>
      <c r="J145" s="127" t="s">
        <v>46</v>
      </c>
      <c r="K145" s="127">
        <v>13656706121</v>
      </c>
      <c r="L145" s="127" t="s">
        <v>625</v>
      </c>
      <c r="M145" s="127"/>
      <c r="N145" s="127" t="s">
        <v>626</v>
      </c>
      <c r="O145" s="127" t="s">
        <v>627</v>
      </c>
      <c r="P145" s="127" t="s">
        <v>628</v>
      </c>
      <c r="Q145" s="127">
        <v>13511426606</v>
      </c>
      <c r="R145" s="127" t="s">
        <v>641</v>
      </c>
      <c r="S145" s="127" t="s">
        <v>642</v>
      </c>
      <c r="T145" s="127"/>
      <c r="U145" s="127" t="s">
        <v>643</v>
      </c>
      <c r="V145" s="127">
        <v>13757046168</v>
      </c>
      <c r="W145" s="127" t="s">
        <v>663</v>
      </c>
      <c r="X145" s="127" t="s">
        <v>664</v>
      </c>
      <c r="Y145" s="127" t="s">
        <v>665</v>
      </c>
      <c r="Z145" s="127" t="s">
        <v>666</v>
      </c>
      <c r="AA145" s="128">
        <v>62.01</v>
      </c>
      <c r="AB145" s="128">
        <v>7.17</v>
      </c>
      <c r="AC145" s="128">
        <v>5.52</v>
      </c>
      <c r="AD145" s="128"/>
      <c r="AE145" s="127" t="s">
        <v>648</v>
      </c>
      <c r="AF145" s="128"/>
      <c r="AG145" s="128"/>
      <c r="AH145" s="128"/>
      <c r="AI145" s="128"/>
      <c r="AJ145" s="128"/>
      <c r="AK145" s="128"/>
      <c r="AL145" s="128"/>
      <c r="AM145" s="128"/>
    </row>
    <row r="146" customHeight="1" spans="1:39">
      <c r="A146" s="127" t="s">
        <v>39</v>
      </c>
      <c r="B146" s="127" t="s">
        <v>40</v>
      </c>
      <c r="C146" s="127" t="s">
        <v>41</v>
      </c>
      <c r="D146" s="127" t="s">
        <v>624</v>
      </c>
      <c r="E146" s="127"/>
      <c r="F146" s="127" t="s">
        <v>43</v>
      </c>
      <c r="G146" s="127" t="s">
        <v>44</v>
      </c>
      <c r="H146" s="127" t="s">
        <v>45</v>
      </c>
      <c r="I146" s="127">
        <v>7001221</v>
      </c>
      <c r="J146" s="127" t="s">
        <v>46</v>
      </c>
      <c r="K146" s="127">
        <v>13656706121</v>
      </c>
      <c r="L146" s="127" t="s">
        <v>625</v>
      </c>
      <c r="M146" s="127"/>
      <c r="N146" s="127" t="s">
        <v>626</v>
      </c>
      <c r="O146" s="127" t="s">
        <v>627</v>
      </c>
      <c r="P146" s="127" t="s">
        <v>628</v>
      </c>
      <c r="Q146" s="127">
        <v>13511426606</v>
      </c>
      <c r="R146" s="127" t="s">
        <v>641</v>
      </c>
      <c r="S146" s="127" t="s">
        <v>642</v>
      </c>
      <c r="T146" s="127"/>
      <c r="U146" s="127" t="s">
        <v>643</v>
      </c>
      <c r="V146" s="127">
        <v>13757046168</v>
      </c>
      <c r="W146" s="127" t="s">
        <v>663</v>
      </c>
      <c r="X146" s="127" t="s">
        <v>664</v>
      </c>
      <c r="Y146" s="127" t="s">
        <v>667</v>
      </c>
      <c r="Z146" s="127" t="s">
        <v>668</v>
      </c>
      <c r="AA146" s="128">
        <v>5.73</v>
      </c>
      <c r="AB146" s="128">
        <v>5.51</v>
      </c>
      <c r="AC146" s="128">
        <v>5.33</v>
      </c>
      <c r="AD146" s="128"/>
      <c r="AE146" s="127" t="s">
        <v>669</v>
      </c>
      <c r="AF146" s="128"/>
      <c r="AG146" s="128"/>
      <c r="AH146" s="128"/>
      <c r="AI146" s="128"/>
      <c r="AJ146" s="128"/>
      <c r="AK146" s="128"/>
      <c r="AL146" s="128"/>
      <c r="AM146" s="128"/>
    </row>
    <row r="147" customHeight="1" spans="1:39">
      <c r="A147" s="127" t="s">
        <v>39</v>
      </c>
      <c r="B147" s="127" t="s">
        <v>40</v>
      </c>
      <c r="C147" s="127" t="s">
        <v>41</v>
      </c>
      <c r="D147" s="127" t="s">
        <v>624</v>
      </c>
      <c r="E147" s="127"/>
      <c r="F147" s="127" t="s">
        <v>43</v>
      </c>
      <c r="G147" s="127" t="s">
        <v>44</v>
      </c>
      <c r="H147" s="127" t="s">
        <v>45</v>
      </c>
      <c r="I147" s="127">
        <v>7001221</v>
      </c>
      <c r="J147" s="127" t="s">
        <v>46</v>
      </c>
      <c r="K147" s="127">
        <v>13656706121</v>
      </c>
      <c r="L147" s="127" t="s">
        <v>625</v>
      </c>
      <c r="M147" s="127"/>
      <c r="N147" s="127" t="s">
        <v>626</v>
      </c>
      <c r="O147" s="127" t="s">
        <v>627</v>
      </c>
      <c r="P147" s="127" t="s">
        <v>628</v>
      </c>
      <c r="Q147" s="127">
        <v>13511426606</v>
      </c>
      <c r="R147" s="127" t="s">
        <v>641</v>
      </c>
      <c r="S147" s="127" t="s">
        <v>642</v>
      </c>
      <c r="T147" s="127"/>
      <c r="U147" s="127" t="s">
        <v>643</v>
      </c>
      <c r="V147" s="127">
        <v>13757046168</v>
      </c>
      <c r="W147" s="127" t="s">
        <v>663</v>
      </c>
      <c r="X147" s="127" t="s">
        <v>664</v>
      </c>
      <c r="Y147" s="127" t="s">
        <v>670</v>
      </c>
      <c r="Z147" s="127" t="s">
        <v>671</v>
      </c>
      <c r="AA147" s="128">
        <v>2392.78</v>
      </c>
      <c r="AB147" s="128">
        <v>159.13</v>
      </c>
      <c r="AC147" s="128">
        <v>153.5</v>
      </c>
      <c r="AD147" s="128"/>
      <c r="AE147" s="127" t="s">
        <v>355</v>
      </c>
      <c r="AF147" s="128"/>
      <c r="AG147" s="128"/>
      <c r="AH147" s="128"/>
      <c r="AI147" s="128"/>
      <c r="AJ147" s="128"/>
      <c r="AK147" s="128"/>
      <c r="AL147" s="128"/>
      <c r="AM147" s="128"/>
    </row>
    <row r="148" customHeight="1" spans="1:39">
      <c r="A148" s="127" t="s">
        <v>39</v>
      </c>
      <c r="B148" s="127" t="s">
        <v>40</v>
      </c>
      <c r="C148" s="127" t="s">
        <v>41</v>
      </c>
      <c r="D148" s="127" t="s">
        <v>624</v>
      </c>
      <c r="E148" s="127"/>
      <c r="F148" s="127" t="s">
        <v>43</v>
      </c>
      <c r="G148" s="127" t="s">
        <v>44</v>
      </c>
      <c r="H148" s="127" t="s">
        <v>45</v>
      </c>
      <c r="I148" s="127">
        <v>7001221</v>
      </c>
      <c r="J148" s="127" t="s">
        <v>46</v>
      </c>
      <c r="K148" s="127">
        <v>13656706121</v>
      </c>
      <c r="L148" s="127" t="s">
        <v>625</v>
      </c>
      <c r="M148" s="127"/>
      <c r="N148" s="127" t="s">
        <v>626</v>
      </c>
      <c r="O148" s="127" t="s">
        <v>627</v>
      </c>
      <c r="P148" s="127" t="s">
        <v>628</v>
      </c>
      <c r="Q148" s="127">
        <v>13511426606</v>
      </c>
      <c r="R148" s="127" t="s">
        <v>641</v>
      </c>
      <c r="S148" s="127" t="s">
        <v>642</v>
      </c>
      <c r="T148" s="127"/>
      <c r="U148" s="127" t="s">
        <v>643</v>
      </c>
      <c r="V148" s="127">
        <v>13757046168</v>
      </c>
      <c r="W148" s="127" t="s">
        <v>672</v>
      </c>
      <c r="X148" s="127" t="s">
        <v>673</v>
      </c>
      <c r="Y148" s="127" t="s">
        <v>674</v>
      </c>
      <c r="Z148" s="127" t="s">
        <v>675</v>
      </c>
      <c r="AA148" s="128">
        <v>62.01</v>
      </c>
      <c r="AB148" s="128">
        <v>20.92</v>
      </c>
      <c r="AC148" s="128">
        <v>20.92</v>
      </c>
      <c r="AD148" s="128"/>
      <c r="AE148" s="127" t="s">
        <v>648</v>
      </c>
      <c r="AF148" s="128"/>
      <c r="AG148" s="128"/>
      <c r="AH148" s="128"/>
      <c r="AI148" s="128"/>
      <c r="AJ148" s="128"/>
      <c r="AK148" s="128"/>
      <c r="AL148" s="128"/>
      <c r="AM148" s="128"/>
    </row>
    <row r="149" customHeight="1" spans="1:39">
      <c r="A149" s="127" t="s">
        <v>39</v>
      </c>
      <c r="B149" s="127" t="s">
        <v>40</v>
      </c>
      <c r="C149" s="127" t="s">
        <v>41</v>
      </c>
      <c r="D149" s="127" t="s">
        <v>624</v>
      </c>
      <c r="E149" s="127"/>
      <c r="F149" s="127" t="s">
        <v>43</v>
      </c>
      <c r="G149" s="127" t="s">
        <v>44</v>
      </c>
      <c r="H149" s="127" t="s">
        <v>45</v>
      </c>
      <c r="I149" s="127">
        <v>7001221</v>
      </c>
      <c r="J149" s="127" t="s">
        <v>46</v>
      </c>
      <c r="K149" s="127">
        <v>13656706121</v>
      </c>
      <c r="L149" s="127" t="s">
        <v>625</v>
      </c>
      <c r="M149" s="127"/>
      <c r="N149" s="127" t="s">
        <v>626</v>
      </c>
      <c r="O149" s="127" t="s">
        <v>627</v>
      </c>
      <c r="P149" s="127" t="s">
        <v>628</v>
      </c>
      <c r="Q149" s="127">
        <v>13511426606</v>
      </c>
      <c r="R149" s="127" t="s">
        <v>641</v>
      </c>
      <c r="S149" s="127" t="s">
        <v>642</v>
      </c>
      <c r="T149" s="127"/>
      <c r="U149" s="127" t="s">
        <v>643</v>
      </c>
      <c r="V149" s="127">
        <v>13757046168</v>
      </c>
      <c r="W149" s="127" t="s">
        <v>676</v>
      </c>
      <c r="X149" s="127" t="s">
        <v>677</v>
      </c>
      <c r="Y149" s="127" t="s">
        <v>678</v>
      </c>
      <c r="Z149" s="127" t="s">
        <v>679</v>
      </c>
      <c r="AA149" s="128">
        <v>0.276</v>
      </c>
      <c r="AB149" s="128">
        <v>0.4</v>
      </c>
      <c r="AC149" s="128">
        <v>0.34</v>
      </c>
      <c r="AD149" s="128"/>
      <c r="AE149" s="127" t="s">
        <v>680</v>
      </c>
      <c r="AF149" s="128"/>
      <c r="AG149" s="128"/>
      <c r="AH149" s="128"/>
      <c r="AI149" s="128"/>
      <c r="AJ149" s="128"/>
      <c r="AK149" s="128"/>
      <c r="AL149" s="128"/>
      <c r="AM149" s="128"/>
    </row>
    <row r="150" customHeight="1" spans="1:39">
      <c r="A150" s="127" t="s">
        <v>39</v>
      </c>
      <c r="B150" s="127" t="s">
        <v>40</v>
      </c>
      <c r="C150" s="127" t="s">
        <v>41</v>
      </c>
      <c r="D150" s="127" t="s">
        <v>624</v>
      </c>
      <c r="E150" s="127"/>
      <c r="F150" s="127" t="s">
        <v>43</v>
      </c>
      <c r="G150" s="127" t="s">
        <v>44</v>
      </c>
      <c r="H150" s="127" t="s">
        <v>45</v>
      </c>
      <c r="I150" s="127">
        <v>7001221</v>
      </c>
      <c r="J150" s="127" t="s">
        <v>46</v>
      </c>
      <c r="K150" s="127">
        <v>13656706121</v>
      </c>
      <c r="L150" s="127" t="s">
        <v>625</v>
      </c>
      <c r="M150" s="127"/>
      <c r="N150" s="127" t="s">
        <v>626</v>
      </c>
      <c r="O150" s="127" t="s">
        <v>627</v>
      </c>
      <c r="P150" s="127" t="s">
        <v>628</v>
      </c>
      <c r="Q150" s="127">
        <v>13511426606</v>
      </c>
      <c r="R150" s="127" t="s">
        <v>641</v>
      </c>
      <c r="S150" s="127" t="s">
        <v>642</v>
      </c>
      <c r="T150" s="127"/>
      <c r="U150" s="127" t="s">
        <v>643</v>
      </c>
      <c r="V150" s="127">
        <v>13757046168</v>
      </c>
      <c r="W150" s="127" t="s">
        <v>676</v>
      </c>
      <c r="X150" s="127" t="s">
        <v>677</v>
      </c>
      <c r="Y150" s="127" t="s">
        <v>681</v>
      </c>
      <c r="Z150" s="127" t="s">
        <v>682</v>
      </c>
      <c r="AA150" s="128">
        <v>62.01</v>
      </c>
      <c r="AB150" s="128">
        <v>1.75</v>
      </c>
      <c r="AC150" s="128">
        <v>1.75</v>
      </c>
      <c r="AD150" s="128"/>
      <c r="AE150" s="127" t="s">
        <v>648</v>
      </c>
      <c r="AF150" s="128"/>
      <c r="AG150" s="128"/>
      <c r="AH150" s="128"/>
      <c r="AI150" s="128"/>
      <c r="AJ150" s="128"/>
      <c r="AK150" s="128"/>
      <c r="AL150" s="128"/>
      <c r="AM150" s="128"/>
    </row>
    <row r="151" customHeight="1" spans="1:39">
      <c r="A151" s="127" t="s">
        <v>39</v>
      </c>
      <c r="B151" s="127" t="s">
        <v>40</v>
      </c>
      <c r="C151" s="127" t="s">
        <v>41</v>
      </c>
      <c r="D151" s="127" t="s">
        <v>624</v>
      </c>
      <c r="E151" s="127"/>
      <c r="F151" s="127" t="s">
        <v>43</v>
      </c>
      <c r="G151" s="127" t="s">
        <v>44</v>
      </c>
      <c r="H151" s="127" t="s">
        <v>45</v>
      </c>
      <c r="I151" s="127">
        <v>7001221</v>
      </c>
      <c r="J151" s="127" t="s">
        <v>46</v>
      </c>
      <c r="K151" s="127">
        <v>13656706121</v>
      </c>
      <c r="L151" s="127" t="s">
        <v>625</v>
      </c>
      <c r="M151" s="127"/>
      <c r="N151" s="127" t="s">
        <v>626</v>
      </c>
      <c r="O151" s="127" t="s">
        <v>627</v>
      </c>
      <c r="P151" s="127" t="s">
        <v>628</v>
      </c>
      <c r="Q151" s="127">
        <v>13511426606</v>
      </c>
      <c r="R151" s="127" t="s">
        <v>641</v>
      </c>
      <c r="S151" s="127" t="s">
        <v>642</v>
      </c>
      <c r="T151" s="127"/>
      <c r="U151" s="127" t="s">
        <v>643</v>
      </c>
      <c r="V151" s="127">
        <v>13757046168</v>
      </c>
      <c r="W151" s="127" t="s">
        <v>683</v>
      </c>
      <c r="X151" s="127" t="s">
        <v>684</v>
      </c>
      <c r="Y151" s="127" t="s">
        <v>685</v>
      </c>
      <c r="Z151" s="127" t="s">
        <v>686</v>
      </c>
      <c r="AA151" s="128">
        <v>62.01</v>
      </c>
      <c r="AB151" s="128">
        <v>4.05</v>
      </c>
      <c r="AC151" s="128">
        <v>4.05</v>
      </c>
      <c r="AD151" s="128"/>
      <c r="AE151" s="127" t="s">
        <v>648</v>
      </c>
      <c r="AF151" s="128"/>
      <c r="AG151" s="128"/>
      <c r="AH151" s="128"/>
      <c r="AI151" s="128"/>
      <c r="AJ151" s="128"/>
      <c r="AK151" s="128"/>
      <c r="AL151" s="128"/>
      <c r="AM151" s="128"/>
    </row>
    <row r="152" customHeight="1" spans="1:39">
      <c r="A152" s="127" t="s">
        <v>39</v>
      </c>
      <c r="B152" s="127" t="s">
        <v>40</v>
      </c>
      <c r="C152" s="127" t="s">
        <v>41</v>
      </c>
      <c r="D152" s="127" t="s">
        <v>624</v>
      </c>
      <c r="E152" s="127"/>
      <c r="F152" s="127" t="s">
        <v>43</v>
      </c>
      <c r="G152" s="127" t="s">
        <v>44</v>
      </c>
      <c r="H152" s="127" t="s">
        <v>45</v>
      </c>
      <c r="I152" s="127">
        <v>7001221</v>
      </c>
      <c r="J152" s="127" t="s">
        <v>46</v>
      </c>
      <c r="K152" s="127">
        <v>13656706121</v>
      </c>
      <c r="L152" s="127" t="s">
        <v>625</v>
      </c>
      <c r="M152" s="127"/>
      <c r="N152" s="127" t="s">
        <v>626</v>
      </c>
      <c r="O152" s="127" t="s">
        <v>627</v>
      </c>
      <c r="P152" s="127" t="s">
        <v>628</v>
      </c>
      <c r="Q152" s="127">
        <v>13511426606</v>
      </c>
      <c r="R152" s="127" t="s">
        <v>641</v>
      </c>
      <c r="S152" s="127" t="s">
        <v>642</v>
      </c>
      <c r="T152" s="127"/>
      <c r="U152" s="127" t="s">
        <v>643</v>
      </c>
      <c r="V152" s="127">
        <v>13757046168</v>
      </c>
      <c r="W152" s="127" t="s">
        <v>683</v>
      </c>
      <c r="X152" s="127" t="s">
        <v>684</v>
      </c>
      <c r="Y152" s="127" t="s">
        <v>687</v>
      </c>
      <c r="Z152" s="127" t="s">
        <v>688</v>
      </c>
      <c r="AA152" s="128">
        <v>2392.78</v>
      </c>
      <c r="AB152" s="128">
        <v>111.4</v>
      </c>
      <c r="AC152" s="128">
        <v>109.15</v>
      </c>
      <c r="AD152" s="128"/>
      <c r="AE152" s="127" t="s">
        <v>355</v>
      </c>
      <c r="AF152" s="128"/>
      <c r="AG152" s="128"/>
      <c r="AH152" s="128"/>
      <c r="AI152" s="128"/>
      <c r="AJ152" s="128"/>
      <c r="AK152" s="128"/>
      <c r="AL152" s="128"/>
      <c r="AM152" s="128"/>
    </row>
    <row r="153" customHeight="1" spans="1:39">
      <c r="A153" s="127" t="s">
        <v>39</v>
      </c>
      <c r="B153" s="127" t="s">
        <v>40</v>
      </c>
      <c r="C153" s="127" t="s">
        <v>41</v>
      </c>
      <c r="D153" s="127" t="s">
        <v>624</v>
      </c>
      <c r="E153" s="127"/>
      <c r="F153" s="127" t="s">
        <v>43</v>
      </c>
      <c r="G153" s="127" t="s">
        <v>44</v>
      </c>
      <c r="H153" s="127" t="s">
        <v>45</v>
      </c>
      <c r="I153" s="127">
        <v>7001221</v>
      </c>
      <c r="J153" s="127" t="s">
        <v>46</v>
      </c>
      <c r="K153" s="127">
        <v>13656706121</v>
      </c>
      <c r="L153" s="127" t="s">
        <v>625</v>
      </c>
      <c r="M153" s="127"/>
      <c r="N153" s="127" t="s">
        <v>626</v>
      </c>
      <c r="O153" s="127" t="s">
        <v>627</v>
      </c>
      <c r="P153" s="127" t="s">
        <v>628</v>
      </c>
      <c r="Q153" s="127">
        <v>13511426606</v>
      </c>
      <c r="R153" s="127" t="s">
        <v>689</v>
      </c>
      <c r="S153" s="127" t="s">
        <v>690</v>
      </c>
      <c r="T153" s="127"/>
      <c r="U153" s="127" t="s">
        <v>691</v>
      </c>
      <c r="V153" s="127">
        <v>13567076781</v>
      </c>
      <c r="W153" s="127" t="s">
        <v>692</v>
      </c>
      <c r="X153" s="127" t="s">
        <v>693</v>
      </c>
      <c r="Y153" s="127" t="s">
        <v>694</v>
      </c>
      <c r="Z153" s="127" t="s">
        <v>695</v>
      </c>
      <c r="AA153" s="128">
        <v>251.4</v>
      </c>
      <c r="AB153" s="128">
        <v>25</v>
      </c>
      <c r="AC153" s="128">
        <v>25.02</v>
      </c>
      <c r="AD153" s="128"/>
      <c r="AE153" s="127" t="s">
        <v>696</v>
      </c>
      <c r="AF153" s="128"/>
      <c r="AG153" s="128"/>
      <c r="AH153" s="128"/>
      <c r="AI153" s="128"/>
      <c r="AJ153" s="128"/>
      <c r="AK153" s="128"/>
      <c r="AL153" s="128"/>
      <c r="AM153" s="128"/>
    </row>
    <row r="154" customHeight="1" spans="1:39">
      <c r="A154" s="127" t="s">
        <v>39</v>
      </c>
      <c r="B154" s="127" t="s">
        <v>40</v>
      </c>
      <c r="C154" s="127" t="s">
        <v>41</v>
      </c>
      <c r="D154" s="127" t="s">
        <v>624</v>
      </c>
      <c r="E154" s="127"/>
      <c r="F154" s="127" t="s">
        <v>43</v>
      </c>
      <c r="G154" s="127" t="s">
        <v>44</v>
      </c>
      <c r="H154" s="127" t="s">
        <v>45</v>
      </c>
      <c r="I154" s="127">
        <v>7001221</v>
      </c>
      <c r="J154" s="127" t="s">
        <v>46</v>
      </c>
      <c r="K154" s="127">
        <v>13656706121</v>
      </c>
      <c r="L154" s="127" t="s">
        <v>625</v>
      </c>
      <c r="M154" s="127"/>
      <c r="N154" s="127" t="s">
        <v>626</v>
      </c>
      <c r="O154" s="127" t="s">
        <v>627</v>
      </c>
      <c r="P154" s="127" t="s">
        <v>628</v>
      </c>
      <c r="Q154" s="127">
        <v>13511426606</v>
      </c>
      <c r="R154" s="127" t="s">
        <v>689</v>
      </c>
      <c r="S154" s="127" t="s">
        <v>690</v>
      </c>
      <c r="T154" s="127"/>
      <c r="U154" s="127" t="s">
        <v>691</v>
      </c>
      <c r="V154" s="127">
        <v>13567076781</v>
      </c>
      <c r="W154" s="127" t="s">
        <v>692</v>
      </c>
      <c r="X154" s="127" t="s">
        <v>693</v>
      </c>
      <c r="Y154" s="127" t="s">
        <v>697</v>
      </c>
      <c r="Z154" s="127" t="s">
        <v>698</v>
      </c>
      <c r="AA154" s="128">
        <v>2392.78</v>
      </c>
      <c r="AB154" s="128">
        <v>127.41</v>
      </c>
      <c r="AC154" s="128">
        <v>125.71</v>
      </c>
      <c r="AD154" s="128"/>
      <c r="AE154" s="127" t="s">
        <v>355</v>
      </c>
      <c r="AF154" s="128"/>
      <c r="AG154" s="128"/>
      <c r="AH154" s="128"/>
      <c r="AI154" s="128"/>
      <c r="AJ154" s="128"/>
      <c r="AK154" s="128"/>
      <c r="AL154" s="128"/>
      <c r="AM154" s="128"/>
    </row>
    <row r="155" customHeight="1" spans="1:39">
      <c r="A155" s="127" t="s">
        <v>39</v>
      </c>
      <c r="B155" s="127" t="s">
        <v>40</v>
      </c>
      <c r="C155" s="127" t="s">
        <v>41</v>
      </c>
      <c r="D155" s="127" t="s">
        <v>624</v>
      </c>
      <c r="E155" s="127"/>
      <c r="F155" s="127" t="s">
        <v>43</v>
      </c>
      <c r="G155" s="127" t="s">
        <v>44</v>
      </c>
      <c r="H155" s="127" t="s">
        <v>45</v>
      </c>
      <c r="I155" s="127">
        <v>7001221</v>
      </c>
      <c r="J155" s="127" t="s">
        <v>46</v>
      </c>
      <c r="K155" s="127">
        <v>13656706121</v>
      </c>
      <c r="L155" s="127" t="s">
        <v>625</v>
      </c>
      <c r="M155" s="127"/>
      <c r="N155" s="127" t="s">
        <v>626</v>
      </c>
      <c r="O155" s="127" t="s">
        <v>627</v>
      </c>
      <c r="P155" s="127" t="s">
        <v>628</v>
      </c>
      <c r="Q155" s="127">
        <v>13511426606</v>
      </c>
      <c r="R155" s="127" t="s">
        <v>689</v>
      </c>
      <c r="S155" s="127" t="s">
        <v>690</v>
      </c>
      <c r="T155" s="127"/>
      <c r="U155" s="127" t="s">
        <v>691</v>
      </c>
      <c r="V155" s="127">
        <v>13567076781</v>
      </c>
      <c r="W155" s="127" t="s">
        <v>699</v>
      </c>
      <c r="X155" s="127" t="s">
        <v>700</v>
      </c>
      <c r="Y155" s="127" t="s">
        <v>701</v>
      </c>
      <c r="Z155" s="127" t="s">
        <v>702</v>
      </c>
      <c r="AA155" s="128">
        <v>2392.78</v>
      </c>
      <c r="AB155" s="128">
        <v>42.49</v>
      </c>
      <c r="AC155" s="128">
        <v>42.49</v>
      </c>
      <c r="AD155" s="128"/>
      <c r="AE155" s="127" t="s">
        <v>355</v>
      </c>
      <c r="AF155" s="128"/>
      <c r="AG155" s="128"/>
      <c r="AH155" s="128"/>
      <c r="AI155" s="128"/>
      <c r="AJ155" s="128"/>
      <c r="AK155" s="128"/>
      <c r="AL155" s="128"/>
      <c r="AM155" s="128"/>
    </row>
    <row r="156" customHeight="1" spans="1:39">
      <c r="A156" s="127" t="s">
        <v>39</v>
      </c>
      <c r="B156" s="127" t="s">
        <v>40</v>
      </c>
      <c r="C156" s="127" t="s">
        <v>41</v>
      </c>
      <c r="D156" s="127" t="s">
        <v>624</v>
      </c>
      <c r="E156" s="127"/>
      <c r="F156" s="127" t="s">
        <v>43</v>
      </c>
      <c r="G156" s="127" t="s">
        <v>44</v>
      </c>
      <c r="H156" s="127" t="s">
        <v>45</v>
      </c>
      <c r="I156" s="127">
        <v>7001221</v>
      </c>
      <c r="J156" s="127" t="s">
        <v>46</v>
      </c>
      <c r="K156" s="127">
        <v>13656706121</v>
      </c>
      <c r="L156" s="127" t="s">
        <v>625</v>
      </c>
      <c r="M156" s="127"/>
      <c r="N156" s="127" t="s">
        <v>626</v>
      </c>
      <c r="O156" s="127" t="s">
        <v>627</v>
      </c>
      <c r="P156" s="127" t="s">
        <v>628</v>
      </c>
      <c r="Q156" s="127">
        <v>13511426606</v>
      </c>
      <c r="R156" s="127" t="s">
        <v>689</v>
      </c>
      <c r="S156" s="127" t="s">
        <v>690</v>
      </c>
      <c r="T156" s="127"/>
      <c r="U156" s="127" t="s">
        <v>691</v>
      </c>
      <c r="V156" s="127">
        <v>13567076781</v>
      </c>
      <c r="W156" s="127" t="s">
        <v>703</v>
      </c>
      <c r="X156" s="127" t="s">
        <v>704</v>
      </c>
      <c r="Y156" s="127" t="s">
        <v>705</v>
      </c>
      <c r="Z156" s="127" t="s">
        <v>706</v>
      </c>
      <c r="AA156" s="128">
        <v>251.4</v>
      </c>
      <c r="AB156" s="128">
        <v>39.85</v>
      </c>
      <c r="AC156" s="128">
        <v>39.74</v>
      </c>
      <c r="AD156" s="128"/>
      <c r="AE156" s="127" t="s">
        <v>696</v>
      </c>
      <c r="AF156" s="128"/>
      <c r="AG156" s="128"/>
      <c r="AH156" s="128"/>
      <c r="AI156" s="128"/>
      <c r="AJ156" s="128"/>
      <c r="AK156" s="128"/>
      <c r="AL156" s="128"/>
      <c r="AM156" s="128"/>
    </row>
    <row r="157" customHeight="1" spans="1:39">
      <c r="A157" s="127" t="s">
        <v>39</v>
      </c>
      <c r="B157" s="127" t="s">
        <v>40</v>
      </c>
      <c r="C157" s="127" t="s">
        <v>41</v>
      </c>
      <c r="D157" s="127" t="s">
        <v>624</v>
      </c>
      <c r="E157" s="127"/>
      <c r="F157" s="127" t="s">
        <v>43</v>
      </c>
      <c r="G157" s="127" t="s">
        <v>44</v>
      </c>
      <c r="H157" s="127" t="s">
        <v>45</v>
      </c>
      <c r="I157" s="127">
        <v>7001221</v>
      </c>
      <c r="J157" s="127" t="s">
        <v>46</v>
      </c>
      <c r="K157" s="127">
        <v>13656706121</v>
      </c>
      <c r="L157" s="127" t="s">
        <v>625</v>
      </c>
      <c r="M157" s="127"/>
      <c r="N157" s="127" t="s">
        <v>626</v>
      </c>
      <c r="O157" s="127" t="s">
        <v>627</v>
      </c>
      <c r="P157" s="127" t="s">
        <v>628</v>
      </c>
      <c r="Q157" s="127">
        <v>13511426606</v>
      </c>
      <c r="R157" s="127" t="s">
        <v>689</v>
      </c>
      <c r="S157" s="127" t="s">
        <v>690</v>
      </c>
      <c r="T157" s="127"/>
      <c r="U157" s="127" t="s">
        <v>691</v>
      </c>
      <c r="V157" s="127">
        <v>13567076781</v>
      </c>
      <c r="W157" s="127" t="s">
        <v>703</v>
      </c>
      <c r="X157" s="127" t="s">
        <v>704</v>
      </c>
      <c r="Y157" s="127" t="s">
        <v>707</v>
      </c>
      <c r="Z157" s="127" t="s">
        <v>708</v>
      </c>
      <c r="AA157" s="128">
        <v>98.48</v>
      </c>
      <c r="AB157" s="128">
        <v>97.43</v>
      </c>
      <c r="AC157" s="128">
        <v>97.43</v>
      </c>
      <c r="AD157" s="128"/>
      <c r="AE157" s="127" t="s">
        <v>709</v>
      </c>
      <c r="AF157" s="128"/>
      <c r="AG157" s="128"/>
      <c r="AH157" s="128"/>
      <c r="AI157" s="128"/>
      <c r="AJ157" s="128"/>
      <c r="AK157" s="128"/>
      <c r="AL157" s="128"/>
      <c r="AM157" s="128"/>
    </row>
    <row r="158" customHeight="1" spans="1:39">
      <c r="A158" s="127" t="s">
        <v>39</v>
      </c>
      <c r="B158" s="127" t="s">
        <v>40</v>
      </c>
      <c r="C158" s="127" t="s">
        <v>41</v>
      </c>
      <c r="D158" s="127" t="s">
        <v>624</v>
      </c>
      <c r="E158" s="127"/>
      <c r="F158" s="127" t="s">
        <v>43</v>
      </c>
      <c r="G158" s="127" t="s">
        <v>44</v>
      </c>
      <c r="H158" s="127" t="s">
        <v>45</v>
      </c>
      <c r="I158" s="127">
        <v>7001221</v>
      </c>
      <c r="J158" s="127" t="s">
        <v>46</v>
      </c>
      <c r="K158" s="127">
        <v>13656706121</v>
      </c>
      <c r="L158" s="127" t="s">
        <v>625</v>
      </c>
      <c r="M158" s="127"/>
      <c r="N158" s="127" t="s">
        <v>626</v>
      </c>
      <c r="O158" s="127" t="s">
        <v>627</v>
      </c>
      <c r="P158" s="127" t="s">
        <v>628</v>
      </c>
      <c r="Q158" s="127">
        <v>13511426606</v>
      </c>
      <c r="R158" s="127" t="s">
        <v>689</v>
      </c>
      <c r="S158" s="127" t="s">
        <v>690</v>
      </c>
      <c r="T158" s="127"/>
      <c r="U158" s="127" t="s">
        <v>691</v>
      </c>
      <c r="V158" s="127">
        <v>13567076781</v>
      </c>
      <c r="W158" s="127" t="s">
        <v>703</v>
      </c>
      <c r="X158" s="127" t="s">
        <v>704</v>
      </c>
      <c r="Y158" s="127" t="s">
        <v>710</v>
      </c>
      <c r="Z158" s="127" t="s">
        <v>711</v>
      </c>
      <c r="AA158" s="128">
        <v>2392.78</v>
      </c>
      <c r="AB158" s="128">
        <v>114.64</v>
      </c>
      <c r="AC158" s="128">
        <v>112.09</v>
      </c>
      <c r="AD158" s="128"/>
      <c r="AE158" s="127" t="s">
        <v>355</v>
      </c>
      <c r="AF158" s="128"/>
      <c r="AG158" s="128"/>
      <c r="AH158" s="128"/>
      <c r="AI158" s="128"/>
      <c r="AJ158" s="128"/>
      <c r="AK158" s="128"/>
      <c r="AL158" s="128"/>
      <c r="AM158" s="128"/>
    </row>
    <row r="159" customHeight="1" spans="1:39">
      <c r="A159" s="127" t="s">
        <v>39</v>
      </c>
      <c r="B159" s="127" t="s">
        <v>40</v>
      </c>
      <c r="C159" s="127" t="s">
        <v>41</v>
      </c>
      <c r="D159" s="127" t="s">
        <v>624</v>
      </c>
      <c r="E159" s="127"/>
      <c r="F159" s="127" t="s">
        <v>43</v>
      </c>
      <c r="G159" s="127" t="s">
        <v>44</v>
      </c>
      <c r="H159" s="127" t="s">
        <v>45</v>
      </c>
      <c r="I159" s="127">
        <v>7001221</v>
      </c>
      <c r="J159" s="127" t="s">
        <v>46</v>
      </c>
      <c r="K159" s="127">
        <v>13656706121</v>
      </c>
      <c r="L159" s="127" t="s">
        <v>625</v>
      </c>
      <c r="M159" s="127"/>
      <c r="N159" s="127" t="s">
        <v>626</v>
      </c>
      <c r="O159" s="127" t="s">
        <v>627</v>
      </c>
      <c r="P159" s="127" t="s">
        <v>628</v>
      </c>
      <c r="Q159" s="127">
        <v>13511426606</v>
      </c>
      <c r="R159" s="127" t="s">
        <v>689</v>
      </c>
      <c r="S159" s="127" t="s">
        <v>690</v>
      </c>
      <c r="T159" s="127"/>
      <c r="U159" s="127" t="s">
        <v>691</v>
      </c>
      <c r="V159" s="127">
        <v>13567076781</v>
      </c>
      <c r="W159" s="127" t="s">
        <v>712</v>
      </c>
      <c r="X159" s="127" t="s">
        <v>713</v>
      </c>
      <c r="Y159" s="127" t="s">
        <v>714</v>
      </c>
      <c r="Z159" s="127" t="s">
        <v>715</v>
      </c>
      <c r="AA159" s="128">
        <v>2392.78</v>
      </c>
      <c r="AB159" s="128">
        <v>114.35</v>
      </c>
      <c r="AC159" s="128">
        <v>112.22</v>
      </c>
      <c r="AD159" s="128"/>
      <c r="AE159" s="127" t="s">
        <v>355</v>
      </c>
      <c r="AF159" s="128"/>
      <c r="AG159" s="128"/>
      <c r="AH159" s="128"/>
      <c r="AI159" s="128"/>
      <c r="AJ159" s="128"/>
      <c r="AK159" s="128"/>
      <c r="AL159" s="128"/>
      <c r="AM159" s="128"/>
    </row>
    <row r="160" customHeight="1" spans="1:39">
      <c r="A160" s="127" t="s">
        <v>39</v>
      </c>
      <c r="B160" s="127" t="s">
        <v>40</v>
      </c>
      <c r="C160" s="127" t="s">
        <v>41</v>
      </c>
      <c r="D160" s="127" t="s">
        <v>624</v>
      </c>
      <c r="E160" s="127"/>
      <c r="F160" s="127" t="s">
        <v>43</v>
      </c>
      <c r="G160" s="127" t="s">
        <v>44</v>
      </c>
      <c r="H160" s="127" t="s">
        <v>45</v>
      </c>
      <c r="I160" s="127">
        <v>7001221</v>
      </c>
      <c r="J160" s="127" t="s">
        <v>46</v>
      </c>
      <c r="K160" s="127">
        <v>13656706121</v>
      </c>
      <c r="L160" s="127" t="s">
        <v>625</v>
      </c>
      <c r="M160" s="127"/>
      <c r="N160" s="127" t="s">
        <v>626</v>
      </c>
      <c r="O160" s="127" t="s">
        <v>627</v>
      </c>
      <c r="P160" s="127" t="s">
        <v>628</v>
      </c>
      <c r="Q160" s="127">
        <v>13511426606</v>
      </c>
      <c r="R160" s="127" t="s">
        <v>689</v>
      </c>
      <c r="S160" s="127" t="s">
        <v>690</v>
      </c>
      <c r="T160" s="127"/>
      <c r="U160" s="127" t="s">
        <v>691</v>
      </c>
      <c r="V160" s="127">
        <v>13567076781</v>
      </c>
      <c r="W160" s="127" t="s">
        <v>716</v>
      </c>
      <c r="X160" s="127" t="s">
        <v>717</v>
      </c>
      <c r="Y160" s="127" t="s">
        <v>718</v>
      </c>
      <c r="Z160" s="127" t="s">
        <v>719</v>
      </c>
      <c r="AA160" s="128">
        <v>50.1</v>
      </c>
      <c r="AB160" s="128">
        <v>41.27</v>
      </c>
      <c r="AC160" s="128">
        <v>41.13</v>
      </c>
      <c r="AD160" s="128"/>
      <c r="AE160" s="127" t="s">
        <v>720</v>
      </c>
      <c r="AF160" s="128"/>
      <c r="AG160" s="128"/>
      <c r="AH160" s="128"/>
      <c r="AI160" s="128"/>
      <c r="AJ160" s="128"/>
      <c r="AK160" s="128"/>
      <c r="AL160" s="128"/>
      <c r="AM160" s="128"/>
    </row>
    <row r="161" customHeight="1" spans="1:39">
      <c r="A161" s="127" t="s">
        <v>39</v>
      </c>
      <c r="B161" s="127" t="s">
        <v>40</v>
      </c>
      <c r="C161" s="127" t="s">
        <v>41</v>
      </c>
      <c r="D161" s="127" t="s">
        <v>624</v>
      </c>
      <c r="E161" s="127"/>
      <c r="F161" s="127" t="s">
        <v>43</v>
      </c>
      <c r="G161" s="127" t="s">
        <v>44</v>
      </c>
      <c r="H161" s="127" t="s">
        <v>45</v>
      </c>
      <c r="I161" s="127">
        <v>7001221</v>
      </c>
      <c r="J161" s="127" t="s">
        <v>46</v>
      </c>
      <c r="K161" s="127">
        <v>13656706121</v>
      </c>
      <c r="L161" s="127" t="s">
        <v>625</v>
      </c>
      <c r="M161" s="127"/>
      <c r="N161" s="127" t="s">
        <v>626</v>
      </c>
      <c r="O161" s="127" t="s">
        <v>627</v>
      </c>
      <c r="P161" s="127" t="s">
        <v>628</v>
      </c>
      <c r="Q161" s="127">
        <v>13511426606</v>
      </c>
      <c r="R161" s="127" t="s">
        <v>689</v>
      </c>
      <c r="S161" s="127" t="s">
        <v>690</v>
      </c>
      <c r="T161" s="127"/>
      <c r="U161" s="127" t="s">
        <v>691</v>
      </c>
      <c r="V161" s="127">
        <v>13567076781</v>
      </c>
      <c r="W161" s="127" t="s">
        <v>721</v>
      </c>
      <c r="X161" s="127" t="s">
        <v>722</v>
      </c>
      <c r="Y161" s="127" t="s">
        <v>723</v>
      </c>
      <c r="Z161" s="127" t="s">
        <v>724</v>
      </c>
      <c r="AA161" s="128">
        <v>2392.78</v>
      </c>
      <c r="AB161" s="128">
        <v>72.95</v>
      </c>
      <c r="AC161" s="128">
        <v>69.17</v>
      </c>
      <c r="AD161" s="128"/>
      <c r="AE161" s="127" t="s">
        <v>355</v>
      </c>
      <c r="AF161" s="128"/>
      <c r="AG161" s="128"/>
      <c r="AH161" s="128"/>
      <c r="AI161" s="128"/>
      <c r="AJ161" s="128"/>
      <c r="AK161" s="128"/>
      <c r="AL161" s="128"/>
      <c r="AM161" s="128"/>
    </row>
    <row r="162" customHeight="1" spans="1:39">
      <c r="A162" s="127" t="s">
        <v>39</v>
      </c>
      <c r="B162" s="127" t="s">
        <v>40</v>
      </c>
      <c r="C162" s="127" t="s">
        <v>41</v>
      </c>
      <c r="D162" s="127" t="s">
        <v>624</v>
      </c>
      <c r="E162" s="127"/>
      <c r="F162" s="127" t="s">
        <v>43</v>
      </c>
      <c r="G162" s="127" t="s">
        <v>44</v>
      </c>
      <c r="H162" s="127" t="s">
        <v>45</v>
      </c>
      <c r="I162" s="127">
        <v>7001221</v>
      </c>
      <c r="J162" s="127" t="s">
        <v>46</v>
      </c>
      <c r="K162" s="127">
        <v>13656706121</v>
      </c>
      <c r="L162" s="127" t="s">
        <v>625</v>
      </c>
      <c r="M162" s="127"/>
      <c r="N162" s="127" t="s">
        <v>626</v>
      </c>
      <c r="O162" s="127" t="s">
        <v>627</v>
      </c>
      <c r="P162" s="127" t="s">
        <v>628</v>
      </c>
      <c r="Q162" s="127">
        <v>13511426606</v>
      </c>
      <c r="R162" s="127" t="s">
        <v>689</v>
      </c>
      <c r="S162" s="127" t="s">
        <v>690</v>
      </c>
      <c r="T162" s="127"/>
      <c r="U162" s="127" t="s">
        <v>691</v>
      </c>
      <c r="V162" s="127">
        <v>13567076781</v>
      </c>
      <c r="W162" s="127" t="s">
        <v>725</v>
      </c>
      <c r="X162" s="127" t="s">
        <v>726</v>
      </c>
      <c r="Y162" s="127" t="s">
        <v>727</v>
      </c>
      <c r="Z162" s="127" t="s">
        <v>728</v>
      </c>
      <c r="AA162" s="128">
        <v>62.01</v>
      </c>
      <c r="AB162" s="128">
        <v>27.58</v>
      </c>
      <c r="AC162" s="128">
        <v>27.25</v>
      </c>
      <c r="AD162" s="128"/>
      <c r="AE162" s="127" t="s">
        <v>648</v>
      </c>
      <c r="AF162" s="128"/>
      <c r="AG162" s="128"/>
      <c r="AH162" s="128"/>
      <c r="AI162" s="128"/>
      <c r="AJ162" s="128"/>
      <c r="AK162" s="128"/>
      <c r="AL162" s="128"/>
      <c r="AM162" s="128"/>
    </row>
    <row r="163" customHeight="1" spans="1:39">
      <c r="A163" s="127" t="s">
        <v>39</v>
      </c>
      <c r="B163" s="127" t="s">
        <v>40</v>
      </c>
      <c r="C163" s="127" t="s">
        <v>41</v>
      </c>
      <c r="D163" s="127" t="s">
        <v>624</v>
      </c>
      <c r="E163" s="127"/>
      <c r="F163" s="127" t="s">
        <v>43</v>
      </c>
      <c r="G163" s="127" t="s">
        <v>44</v>
      </c>
      <c r="H163" s="127" t="s">
        <v>45</v>
      </c>
      <c r="I163" s="127">
        <v>7001221</v>
      </c>
      <c r="J163" s="127" t="s">
        <v>46</v>
      </c>
      <c r="K163" s="127">
        <v>13656706121</v>
      </c>
      <c r="L163" s="127" t="s">
        <v>625</v>
      </c>
      <c r="M163" s="127"/>
      <c r="N163" s="127" t="s">
        <v>626</v>
      </c>
      <c r="O163" s="127" t="s">
        <v>627</v>
      </c>
      <c r="P163" s="127" t="s">
        <v>628</v>
      </c>
      <c r="Q163" s="127">
        <v>13511426606</v>
      </c>
      <c r="R163" s="127" t="s">
        <v>689</v>
      </c>
      <c r="S163" s="127" t="s">
        <v>690</v>
      </c>
      <c r="T163" s="127"/>
      <c r="U163" s="127" t="s">
        <v>691</v>
      </c>
      <c r="V163" s="127">
        <v>13567076781</v>
      </c>
      <c r="W163" s="127" t="s">
        <v>725</v>
      </c>
      <c r="X163" s="127" t="s">
        <v>726</v>
      </c>
      <c r="Y163" s="127" t="s">
        <v>729</v>
      </c>
      <c r="Z163" s="127" t="s">
        <v>730</v>
      </c>
      <c r="AA163" s="128">
        <v>2392.78</v>
      </c>
      <c r="AB163" s="128">
        <v>54.78</v>
      </c>
      <c r="AC163" s="128">
        <v>53.25</v>
      </c>
      <c r="AD163" s="128"/>
      <c r="AE163" s="127" t="s">
        <v>355</v>
      </c>
      <c r="AF163" s="128"/>
      <c r="AG163" s="128"/>
      <c r="AH163" s="128"/>
      <c r="AI163" s="128"/>
      <c r="AJ163" s="128"/>
      <c r="AK163" s="128"/>
      <c r="AL163" s="128"/>
      <c r="AM163" s="128"/>
    </row>
    <row r="164" customHeight="1" spans="1:39">
      <c r="A164" s="127" t="s">
        <v>39</v>
      </c>
      <c r="B164" s="127" t="s">
        <v>40</v>
      </c>
      <c r="C164" s="127" t="s">
        <v>41</v>
      </c>
      <c r="D164" s="127" t="s">
        <v>368</v>
      </c>
      <c r="E164" s="127"/>
      <c r="F164" s="127" t="s">
        <v>43</v>
      </c>
      <c r="G164" s="127" t="s">
        <v>44</v>
      </c>
      <c r="H164" s="127" t="s">
        <v>45</v>
      </c>
      <c r="I164" s="127">
        <v>7001221</v>
      </c>
      <c r="J164" s="127" t="s">
        <v>46</v>
      </c>
      <c r="K164" s="127">
        <v>13656706121</v>
      </c>
      <c r="L164" s="127" t="s">
        <v>625</v>
      </c>
      <c r="M164" s="127"/>
      <c r="N164" s="127" t="s">
        <v>626</v>
      </c>
      <c r="O164" s="127" t="s">
        <v>627</v>
      </c>
      <c r="P164" s="127" t="s">
        <v>628</v>
      </c>
      <c r="Q164" s="127">
        <v>13511426606</v>
      </c>
      <c r="R164" s="127" t="s">
        <v>731</v>
      </c>
      <c r="S164" s="127" t="s">
        <v>732</v>
      </c>
      <c r="T164" s="127"/>
      <c r="U164" s="127" t="s">
        <v>733</v>
      </c>
      <c r="V164" s="127">
        <v>17357096036</v>
      </c>
      <c r="W164" s="127" t="s">
        <v>734</v>
      </c>
      <c r="X164" s="127" t="s">
        <v>735</v>
      </c>
      <c r="Y164" s="127" t="s">
        <v>736</v>
      </c>
      <c r="Z164" s="127" t="s">
        <v>737</v>
      </c>
      <c r="AA164" s="128">
        <v>248.8</v>
      </c>
      <c r="AB164" s="128">
        <v>270.53</v>
      </c>
      <c r="AC164" s="128">
        <v>246.99</v>
      </c>
      <c r="AD164" s="128"/>
      <c r="AE164" s="127" t="s">
        <v>738</v>
      </c>
      <c r="AF164" s="128"/>
      <c r="AG164" s="128"/>
      <c r="AH164" s="128"/>
      <c r="AI164" s="128"/>
      <c r="AJ164" s="128"/>
      <c r="AK164" s="128"/>
      <c r="AL164" s="128"/>
      <c r="AM164" s="128"/>
    </row>
    <row r="165" customHeight="1" spans="1:39">
      <c r="A165" s="127" t="s">
        <v>39</v>
      </c>
      <c r="B165" s="127" t="s">
        <v>40</v>
      </c>
      <c r="C165" s="127" t="s">
        <v>41</v>
      </c>
      <c r="D165" s="127" t="s">
        <v>368</v>
      </c>
      <c r="E165" s="127"/>
      <c r="F165" s="127" t="s">
        <v>43</v>
      </c>
      <c r="G165" s="127" t="s">
        <v>44</v>
      </c>
      <c r="H165" s="127" t="s">
        <v>45</v>
      </c>
      <c r="I165" s="127">
        <v>7001221</v>
      </c>
      <c r="J165" s="127" t="s">
        <v>46</v>
      </c>
      <c r="K165" s="127">
        <v>13656706121</v>
      </c>
      <c r="L165" s="127" t="s">
        <v>625</v>
      </c>
      <c r="M165" s="127"/>
      <c r="N165" s="127" t="s">
        <v>626</v>
      </c>
      <c r="O165" s="127" t="s">
        <v>627</v>
      </c>
      <c r="P165" s="127" t="s">
        <v>628</v>
      </c>
      <c r="Q165" s="127">
        <v>13511426606</v>
      </c>
      <c r="R165" s="127" t="s">
        <v>731</v>
      </c>
      <c r="S165" s="127" t="s">
        <v>732</v>
      </c>
      <c r="T165" s="127"/>
      <c r="U165" s="127" t="s">
        <v>733</v>
      </c>
      <c r="V165" s="127">
        <v>17357096036</v>
      </c>
      <c r="W165" s="127" t="s">
        <v>739</v>
      </c>
      <c r="X165" s="127" t="s">
        <v>740</v>
      </c>
      <c r="Y165" s="127" t="s">
        <v>741</v>
      </c>
      <c r="Z165" s="127" t="s">
        <v>742</v>
      </c>
      <c r="AA165" s="128">
        <v>4.2</v>
      </c>
      <c r="AB165" s="128">
        <v>4.3</v>
      </c>
      <c r="AC165" s="128">
        <v>4.2</v>
      </c>
      <c r="AD165" s="128"/>
      <c r="AE165" s="127" t="s">
        <v>743</v>
      </c>
      <c r="AF165" s="128"/>
      <c r="AG165" s="128"/>
      <c r="AH165" s="128"/>
      <c r="AI165" s="128"/>
      <c r="AJ165" s="128"/>
      <c r="AK165" s="128"/>
      <c r="AL165" s="128"/>
      <c r="AM165" s="128"/>
    </row>
    <row r="166" customHeight="1" spans="1:39">
      <c r="A166" s="127" t="s">
        <v>39</v>
      </c>
      <c r="B166" s="127" t="s">
        <v>40</v>
      </c>
      <c r="C166" s="127" t="s">
        <v>41</v>
      </c>
      <c r="D166" s="127" t="s">
        <v>368</v>
      </c>
      <c r="E166" s="127"/>
      <c r="F166" s="127" t="s">
        <v>43</v>
      </c>
      <c r="G166" s="127" t="s">
        <v>44</v>
      </c>
      <c r="H166" s="127" t="s">
        <v>45</v>
      </c>
      <c r="I166" s="127">
        <v>7001221</v>
      </c>
      <c r="J166" s="127" t="s">
        <v>46</v>
      </c>
      <c r="K166" s="127">
        <v>13656706121</v>
      </c>
      <c r="L166" s="127" t="s">
        <v>625</v>
      </c>
      <c r="M166" s="127"/>
      <c r="N166" s="127" t="s">
        <v>626</v>
      </c>
      <c r="O166" s="127" t="s">
        <v>627</v>
      </c>
      <c r="P166" s="127" t="s">
        <v>628</v>
      </c>
      <c r="Q166" s="127">
        <v>13511426606</v>
      </c>
      <c r="R166" s="127" t="s">
        <v>731</v>
      </c>
      <c r="S166" s="127" t="s">
        <v>732</v>
      </c>
      <c r="T166" s="127"/>
      <c r="U166" s="127" t="s">
        <v>733</v>
      </c>
      <c r="V166" s="127">
        <v>17357096036</v>
      </c>
      <c r="W166" s="127" t="s">
        <v>744</v>
      </c>
      <c r="X166" s="127" t="s">
        <v>745</v>
      </c>
      <c r="Y166" s="127" t="s">
        <v>746</v>
      </c>
      <c r="Z166" s="127" t="s">
        <v>747</v>
      </c>
      <c r="AA166" s="128">
        <v>3.022</v>
      </c>
      <c r="AB166" s="128">
        <v>2.7</v>
      </c>
      <c r="AC166" s="128">
        <v>0</v>
      </c>
      <c r="AD166" s="128"/>
      <c r="AE166" s="127" t="s">
        <v>748</v>
      </c>
      <c r="AF166" s="128"/>
      <c r="AG166" s="128"/>
      <c r="AH166" s="128"/>
      <c r="AI166" s="128"/>
      <c r="AJ166" s="128"/>
      <c r="AK166" s="128"/>
      <c r="AL166" s="128"/>
      <c r="AM166" s="128"/>
    </row>
    <row r="167" customHeight="1" spans="1:39">
      <c r="A167" s="127" t="s">
        <v>39</v>
      </c>
      <c r="B167" s="127" t="s">
        <v>40</v>
      </c>
      <c r="C167" s="127" t="s">
        <v>41</v>
      </c>
      <c r="D167" s="127" t="s">
        <v>368</v>
      </c>
      <c r="E167" s="127"/>
      <c r="F167" s="127" t="s">
        <v>43</v>
      </c>
      <c r="G167" s="127" t="s">
        <v>44</v>
      </c>
      <c r="H167" s="127" t="s">
        <v>45</v>
      </c>
      <c r="I167" s="127">
        <v>7001221</v>
      </c>
      <c r="J167" s="127" t="s">
        <v>46</v>
      </c>
      <c r="K167" s="127">
        <v>13656706121</v>
      </c>
      <c r="L167" s="127" t="s">
        <v>625</v>
      </c>
      <c r="M167" s="127"/>
      <c r="N167" s="127" t="s">
        <v>626</v>
      </c>
      <c r="O167" s="127" t="s">
        <v>627</v>
      </c>
      <c r="P167" s="127" t="s">
        <v>628</v>
      </c>
      <c r="Q167" s="127">
        <v>13511426606</v>
      </c>
      <c r="R167" s="127" t="s">
        <v>731</v>
      </c>
      <c r="S167" s="127" t="s">
        <v>732</v>
      </c>
      <c r="T167" s="127"/>
      <c r="U167" s="127" t="s">
        <v>733</v>
      </c>
      <c r="V167" s="127">
        <v>17357096036</v>
      </c>
      <c r="W167" s="127" t="s">
        <v>744</v>
      </c>
      <c r="X167" s="127" t="s">
        <v>745</v>
      </c>
      <c r="Y167" s="127" t="s">
        <v>749</v>
      </c>
      <c r="Z167" s="127" t="s">
        <v>750</v>
      </c>
      <c r="AA167" s="128">
        <v>2.699</v>
      </c>
      <c r="AB167" s="128">
        <v>2.75</v>
      </c>
      <c r="AC167" s="128">
        <v>2.7</v>
      </c>
      <c r="AD167" s="128"/>
      <c r="AE167" s="127" t="s">
        <v>751</v>
      </c>
      <c r="AF167" s="128"/>
      <c r="AG167" s="128"/>
      <c r="AH167" s="128"/>
      <c r="AI167" s="128"/>
      <c r="AJ167" s="128"/>
      <c r="AK167" s="128"/>
      <c r="AL167" s="128"/>
      <c r="AM167" s="128"/>
    </row>
    <row r="168" customHeight="1" spans="1:39">
      <c r="A168" s="127" t="s">
        <v>39</v>
      </c>
      <c r="B168" s="127" t="s">
        <v>40</v>
      </c>
      <c r="C168" s="127" t="s">
        <v>41</v>
      </c>
      <c r="D168" s="127" t="s">
        <v>368</v>
      </c>
      <c r="E168" s="127"/>
      <c r="F168" s="127" t="s">
        <v>43</v>
      </c>
      <c r="G168" s="127" t="s">
        <v>44</v>
      </c>
      <c r="H168" s="127" t="s">
        <v>45</v>
      </c>
      <c r="I168" s="127">
        <v>7001221</v>
      </c>
      <c r="J168" s="127" t="s">
        <v>46</v>
      </c>
      <c r="K168" s="127">
        <v>13656706121</v>
      </c>
      <c r="L168" s="127" t="s">
        <v>625</v>
      </c>
      <c r="M168" s="127"/>
      <c r="N168" s="127" t="s">
        <v>626</v>
      </c>
      <c r="O168" s="127" t="s">
        <v>627</v>
      </c>
      <c r="P168" s="127" t="s">
        <v>628</v>
      </c>
      <c r="Q168" s="127">
        <v>13511426606</v>
      </c>
      <c r="R168" s="127" t="s">
        <v>731</v>
      </c>
      <c r="S168" s="127" t="s">
        <v>732</v>
      </c>
      <c r="T168" s="127"/>
      <c r="U168" s="127" t="s">
        <v>733</v>
      </c>
      <c r="V168" s="127">
        <v>17357096036</v>
      </c>
      <c r="W168" s="127" t="s">
        <v>744</v>
      </c>
      <c r="X168" s="127" t="s">
        <v>745</v>
      </c>
      <c r="Y168" s="127" t="s">
        <v>752</v>
      </c>
      <c r="Z168" s="127" t="s">
        <v>753</v>
      </c>
      <c r="AA168" s="128">
        <v>2.5</v>
      </c>
      <c r="AB168" s="128">
        <v>2.08</v>
      </c>
      <c r="AC168" s="128">
        <v>2.5</v>
      </c>
      <c r="AD168" s="128"/>
      <c r="AE168" s="127" t="s">
        <v>754</v>
      </c>
      <c r="AF168" s="128"/>
      <c r="AG168" s="128"/>
      <c r="AH168" s="128"/>
      <c r="AI168" s="128"/>
      <c r="AJ168" s="128"/>
      <c r="AK168" s="128"/>
      <c r="AL168" s="128"/>
      <c r="AM168" s="128"/>
    </row>
    <row r="169" customHeight="1" spans="1:39">
      <c r="A169" s="127" t="s">
        <v>39</v>
      </c>
      <c r="B169" s="127" t="s">
        <v>40</v>
      </c>
      <c r="C169" s="127" t="s">
        <v>41</v>
      </c>
      <c r="D169" s="127" t="s">
        <v>368</v>
      </c>
      <c r="E169" s="127"/>
      <c r="F169" s="127" t="s">
        <v>43</v>
      </c>
      <c r="G169" s="127" t="s">
        <v>44</v>
      </c>
      <c r="H169" s="127" t="s">
        <v>45</v>
      </c>
      <c r="I169" s="127">
        <v>7001221</v>
      </c>
      <c r="J169" s="127" t="s">
        <v>46</v>
      </c>
      <c r="K169" s="127">
        <v>13656706121</v>
      </c>
      <c r="L169" s="127" t="s">
        <v>625</v>
      </c>
      <c r="M169" s="127"/>
      <c r="N169" s="127" t="s">
        <v>626</v>
      </c>
      <c r="O169" s="127" t="s">
        <v>627</v>
      </c>
      <c r="P169" s="127" t="s">
        <v>628</v>
      </c>
      <c r="Q169" s="127">
        <v>13511426606</v>
      </c>
      <c r="R169" s="127" t="s">
        <v>731</v>
      </c>
      <c r="S169" s="127" t="s">
        <v>732</v>
      </c>
      <c r="T169" s="127"/>
      <c r="U169" s="127" t="s">
        <v>733</v>
      </c>
      <c r="V169" s="127">
        <v>17357096036</v>
      </c>
      <c r="W169" s="127" t="s">
        <v>744</v>
      </c>
      <c r="X169" s="127" t="s">
        <v>745</v>
      </c>
      <c r="Y169" s="127" t="s">
        <v>755</v>
      </c>
      <c r="Z169" s="127" t="s">
        <v>756</v>
      </c>
      <c r="AA169" s="128">
        <v>3.217</v>
      </c>
      <c r="AB169" s="128">
        <v>3.92</v>
      </c>
      <c r="AC169" s="128">
        <v>3.22</v>
      </c>
      <c r="AD169" s="128"/>
      <c r="AE169" s="127" t="s">
        <v>757</v>
      </c>
      <c r="AF169" s="128"/>
      <c r="AG169" s="128"/>
      <c r="AH169" s="128"/>
      <c r="AI169" s="128"/>
      <c r="AJ169" s="128"/>
      <c r="AK169" s="128"/>
      <c r="AL169" s="128"/>
      <c r="AM169" s="128"/>
    </row>
    <row r="170" customHeight="1" spans="1:39">
      <c r="A170" s="127" t="s">
        <v>39</v>
      </c>
      <c r="B170" s="127" t="s">
        <v>40</v>
      </c>
      <c r="C170" s="127" t="s">
        <v>41</v>
      </c>
      <c r="D170" s="127" t="s">
        <v>368</v>
      </c>
      <c r="E170" s="127"/>
      <c r="F170" s="127" t="s">
        <v>43</v>
      </c>
      <c r="G170" s="127" t="s">
        <v>44</v>
      </c>
      <c r="H170" s="127" t="s">
        <v>45</v>
      </c>
      <c r="I170" s="127">
        <v>7001221</v>
      </c>
      <c r="J170" s="127" t="s">
        <v>46</v>
      </c>
      <c r="K170" s="127">
        <v>13656706121</v>
      </c>
      <c r="L170" s="127" t="s">
        <v>625</v>
      </c>
      <c r="M170" s="127"/>
      <c r="N170" s="127" t="s">
        <v>626</v>
      </c>
      <c r="O170" s="127" t="s">
        <v>627</v>
      </c>
      <c r="P170" s="127" t="s">
        <v>628</v>
      </c>
      <c r="Q170" s="127">
        <v>13511426606</v>
      </c>
      <c r="R170" s="127" t="s">
        <v>731</v>
      </c>
      <c r="S170" s="127" t="s">
        <v>732</v>
      </c>
      <c r="T170" s="127"/>
      <c r="U170" s="127" t="s">
        <v>733</v>
      </c>
      <c r="V170" s="127">
        <v>17357096036</v>
      </c>
      <c r="W170" s="127" t="s">
        <v>758</v>
      </c>
      <c r="X170" s="127" t="s">
        <v>717</v>
      </c>
      <c r="Y170" s="127" t="s">
        <v>759</v>
      </c>
      <c r="Z170" s="127" t="s">
        <v>719</v>
      </c>
      <c r="AA170" s="128">
        <v>50.1</v>
      </c>
      <c r="AB170" s="128">
        <v>43.8</v>
      </c>
      <c r="AC170" s="128">
        <v>43.8</v>
      </c>
      <c r="AD170" s="128"/>
      <c r="AE170" s="127" t="s">
        <v>720</v>
      </c>
      <c r="AF170" s="128"/>
      <c r="AG170" s="128"/>
      <c r="AH170" s="128"/>
      <c r="AI170" s="128"/>
      <c r="AJ170" s="128"/>
      <c r="AK170" s="128"/>
      <c r="AL170" s="128"/>
      <c r="AM170" s="128"/>
    </row>
    <row r="171" customHeight="1" spans="1:39">
      <c r="A171" s="127" t="s">
        <v>39</v>
      </c>
      <c r="B171" s="127" t="s">
        <v>40</v>
      </c>
      <c r="C171" s="127" t="s">
        <v>41</v>
      </c>
      <c r="D171" s="127" t="s">
        <v>368</v>
      </c>
      <c r="E171" s="127"/>
      <c r="F171" s="127" t="s">
        <v>43</v>
      </c>
      <c r="G171" s="127" t="s">
        <v>44</v>
      </c>
      <c r="H171" s="127" t="s">
        <v>45</v>
      </c>
      <c r="I171" s="127">
        <v>7001221</v>
      </c>
      <c r="J171" s="127" t="s">
        <v>46</v>
      </c>
      <c r="K171" s="127">
        <v>13656706121</v>
      </c>
      <c r="L171" s="127" t="s">
        <v>625</v>
      </c>
      <c r="M171" s="127"/>
      <c r="N171" s="127" t="s">
        <v>626</v>
      </c>
      <c r="O171" s="127" t="s">
        <v>627</v>
      </c>
      <c r="P171" s="127" t="s">
        <v>628</v>
      </c>
      <c r="Q171" s="127">
        <v>13511426606</v>
      </c>
      <c r="R171" s="127" t="s">
        <v>731</v>
      </c>
      <c r="S171" s="127" t="s">
        <v>732</v>
      </c>
      <c r="T171" s="127"/>
      <c r="U171" s="127" t="s">
        <v>733</v>
      </c>
      <c r="V171" s="127">
        <v>17357096036</v>
      </c>
      <c r="W171" s="127" t="s">
        <v>760</v>
      </c>
      <c r="X171" s="127" t="s">
        <v>761</v>
      </c>
      <c r="Y171" s="127" t="s">
        <v>762</v>
      </c>
      <c r="Z171" s="127" t="s">
        <v>763</v>
      </c>
      <c r="AA171" s="128">
        <v>158.2</v>
      </c>
      <c r="AB171" s="128">
        <v>164.41</v>
      </c>
      <c r="AC171" s="128">
        <v>160.44</v>
      </c>
      <c r="AD171" s="128"/>
      <c r="AE171" s="127" t="s">
        <v>764</v>
      </c>
      <c r="AF171" s="128"/>
      <c r="AG171" s="128"/>
      <c r="AH171" s="128"/>
      <c r="AI171" s="128"/>
      <c r="AJ171" s="128"/>
      <c r="AK171" s="128"/>
      <c r="AL171" s="128"/>
      <c r="AM171" s="128"/>
    </row>
    <row r="172" customHeight="1" spans="1:39">
      <c r="A172" s="127" t="s">
        <v>39</v>
      </c>
      <c r="B172" s="127" t="s">
        <v>40</v>
      </c>
      <c r="C172" s="127" t="s">
        <v>41</v>
      </c>
      <c r="D172" s="127" t="s">
        <v>368</v>
      </c>
      <c r="E172" s="127"/>
      <c r="F172" s="127" t="s">
        <v>43</v>
      </c>
      <c r="G172" s="127" t="s">
        <v>44</v>
      </c>
      <c r="H172" s="127" t="s">
        <v>45</v>
      </c>
      <c r="I172" s="127">
        <v>7001221</v>
      </c>
      <c r="J172" s="127" t="s">
        <v>46</v>
      </c>
      <c r="K172" s="127">
        <v>13656706121</v>
      </c>
      <c r="L172" s="127" t="s">
        <v>625</v>
      </c>
      <c r="M172" s="127"/>
      <c r="N172" s="127" t="s">
        <v>626</v>
      </c>
      <c r="O172" s="127" t="s">
        <v>627</v>
      </c>
      <c r="P172" s="127" t="s">
        <v>628</v>
      </c>
      <c r="Q172" s="127">
        <v>13511426606</v>
      </c>
      <c r="R172" s="127" t="s">
        <v>765</v>
      </c>
      <c r="S172" s="127" t="s">
        <v>766</v>
      </c>
      <c r="T172" s="127"/>
      <c r="U172" s="127" t="s">
        <v>767</v>
      </c>
      <c r="V172" s="127">
        <v>15157083323</v>
      </c>
      <c r="W172" s="127" t="s">
        <v>768</v>
      </c>
      <c r="X172" s="127" t="s">
        <v>769</v>
      </c>
      <c r="Y172" s="127" t="s">
        <v>770</v>
      </c>
      <c r="Z172" s="127" t="s">
        <v>771</v>
      </c>
      <c r="AA172" s="128">
        <v>102.9</v>
      </c>
      <c r="AB172" s="128">
        <v>78.68</v>
      </c>
      <c r="AC172" s="128">
        <v>78.68</v>
      </c>
      <c r="AD172" s="128"/>
      <c r="AE172" s="127" t="s">
        <v>772</v>
      </c>
      <c r="AF172" s="128"/>
      <c r="AG172" s="128"/>
      <c r="AH172" s="128"/>
      <c r="AI172" s="128"/>
      <c r="AJ172" s="128"/>
      <c r="AK172" s="128"/>
      <c r="AL172" s="128"/>
      <c r="AM172" s="128"/>
    </row>
    <row r="173" customHeight="1" spans="1:39">
      <c r="A173" s="127" t="s">
        <v>39</v>
      </c>
      <c r="B173" s="127" t="s">
        <v>40</v>
      </c>
      <c r="C173" s="127" t="s">
        <v>41</v>
      </c>
      <c r="D173" s="127" t="s">
        <v>368</v>
      </c>
      <c r="E173" s="127"/>
      <c r="F173" s="127" t="s">
        <v>43</v>
      </c>
      <c r="G173" s="127" t="s">
        <v>44</v>
      </c>
      <c r="H173" s="127" t="s">
        <v>45</v>
      </c>
      <c r="I173" s="127">
        <v>7001221</v>
      </c>
      <c r="J173" s="127" t="s">
        <v>46</v>
      </c>
      <c r="K173" s="127">
        <v>13656706121</v>
      </c>
      <c r="L173" s="127" t="s">
        <v>625</v>
      </c>
      <c r="M173" s="127"/>
      <c r="N173" s="127" t="s">
        <v>626</v>
      </c>
      <c r="O173" s="127" t="s">
        <v>627</v>
      </c>
      <c r="P173" s="127" t="s">
        <v>628</v>
      </c>
      <c r="Q173" s="127">
        <v>13511426606</v>
      </c>
      <c r="R173" s="127" t="s">
        <v>765</v>
      </c>
      <c r="S173" s="127" t="s">
        <v>766</v>
      </c>
      <c r="T173" s="127"/>
      <c r="U173" s="127" t="s">
        <v>767</v>
      </c>
      <c r="V173" s="127">
        <v>15157083323</v>
      </c>
      <c r="W173" s="127" t="s">
        <v>773</v>
      </c>
      <c r="X173" s="127" t="s">
        <v>774</v>
      </c>
      <c r="Y173" s="127" t="s">
        <v>775</v>
      </c>
      <c r="Z173" s="127" t="s">
        <v>776</v>
      </c>
      <c r="AA173" s="128">
        <v>90.1</v>
      </c>
      <c r="AB173" s="128">
        <v>59.67</v>
      </c>
      <c r="AC173" s="128">
        <v>59.67</v>
      </c>
      <c r="AD173" s="128"/>
      <c r="AE173" s="127" t="s">
        <v>777</v>
      </c>
      <c r="AF173" s="128"/>
      <c r="AG173" s="128"/>
      <c r="AH173" s="128"/>
      <c r="AI173" s="128"/>
      <c r="AJ173" s="128"/>
      <c r="AK173" s="128"/>
      <c r="AL173" s="128"/>
      <c r="AM173" s="128"/>
    </row>
    <row r="174" customHeight="1" spans="1:39">
      <c r="A174" s="127" t="s">
        <v>39</v>
      </c>
      <c r="B174" s="127" t="s">
        <v>40</v>
      </c>
      <c r="C174" s="127" t="s">
        <v>41</v>
      </c>
      <c r="D174" s="127" t="s">
        <v>368</v>
      </c>
      <c r="E174" s="127"/>
      <c r="F174" s="127" t="s">
        <v>43</v>
      </c>
      <c r="G174" s="127" t="s">
        <v>44</v>
      </c>
      <c r="H174" s="127" t="s">
        <v>45</v>
      </c>
      <c r="I174" s="127">
        <v>7001221</v>
      </c>
      <c r="J174" s="127" t="s">
        <v>46</v>
      </c>
      <c r="K174" s="127">
        <v>13656706121</v>
      </c>
      <c r="L174" s="127" t="s">
        <v>625</v>
      </c>
      <c r="M174" s="127"/>
      <c r="N174" s="127" t="s">
        <v>626</v>
      </c>
      <c r="O174" s="127" t="s">
        <v>627</v>
      </c>
      <c r="P174" s="127" t="s">
        <v>628</v>
      </c>
      <c r="Q174" s="127">
        <v>13511426606</v>
      </c>
      <c r="R174" s="127" t="s">
        <v>765</v>
      </c>
      <c r="S174" s="127" t="s">
        <v>766</v>
      </c>
      <c r="T174" s="127"/>
      <c r="U174" s="127" t="s">
        <v>767</v>
      </c>
      <c r="V174" s="127">
        <v>15157083323</v>
      </c>
      <c r="W174" s="127" t="s">
        <v>773</v>
      </c>
      <c r="X174" s="127" t="s">
        <v>774</v>
      </c>
      <c r="Y174" s="127" t="s">
        <v>778</v>
      </c>
      <c r="Z174" s="127" t="s">
        <v>779</v>
      </c>
      <c r="AA174" s="128">
        <v>46.033</v>
      </c>
      <c r="AB174" s="128">
        <v>43.36</v>
      </c>
      <c r="AC174" s="128">
        <v>42.6</v>
      </c>
      <c r="AD174" s="128"/>
      <c r="AE174" s="127" t="s">
        <v>780</v>
      </c>
      <c r="AF174" s="128"/>
      <c r="AG174" s="128"/>
      <c r="AH174" s="128"/>
      <c r="AI174" s="128"/>
      <c r="AJ174" s="128"/>
      <c r="AK174" s="128"/>
      <c r="AL174" s="128"/>
      <c r="AM174" s="128"/>
    </row>
    <row r="175" customHeight="1" spans="1:39">
      <c r="A175" s="127" t="s">
        <v>39</v>
      </c>
      <c r="B175" s="127" t="s">
        <v>40</v>
      </c>
      <c r="C175" s="127" t="s">
        <v>41</v>
      </c>
      <c r="D175" s="127" t="s">
        <v>368</v>
      </c>
      <c r="E175" s="127"/>
      <c r="F175" s="127" t="s">
        <v>43</v>
      </c>
      <c r="G175" s="127" t="s">
        <v>44</v>
      </c>
      <c r="H175" s="127" t="s">
        <v>45</v>
      </c>
      <c r="I175" s="127">
        <v>7001221</v>
      </c>
      <c r="J175" s="127" t="s">
        <v>46</v>
      </c>
      <c r="K175" s="127">
        <v>13656706121</v>
      </c>
      <c r="L175" s="127" t="s">
        <v>625</v>
      </c>
      <c r="M175" s="127"/>
      <c r="N175" s="127" t="s">
        <v>626</v>
      </c>
      <c r="O175" s="127" t="s">
        <v>627</v>
      </c>
      <c r="P175" s="127" t="s">
        <v>628</v>
      </c>
      <c r="Q175" s="127">
        <v>13511426606</v>
      </c>
      <c r="R175" s="127" t="s">
        <v>765</v>
      </c>
      <c r="S175" s="127" t="s">
        <v>766</v>
      </c>
      <c r="T175" s="127"/>
      <c r="U175" s="127" t="s">
        <v>767</v>
      </c>
      <c r="V175" s="127">
        <v>15157083323</v>
      </c>
      <c r="W175" s="127" t="s">
        <v>781</v>
      </c>
      <c r="X175" s="127" t="s">
        <v>782</v>
      </c>
      <c r="Y175" s="127" t="s">
        <v>783</v>
      </c>
      <c r="Z175" s="127" t="s">
        <v>784</v>
      </c>
      <c r="AA175" s="128">
        <v>34.57</v>
      </c>
      <c r="AB175" s="128">
        <v>31.81</v>
      </c>
      <c r="AC175" s="128">
        <v>31.75</v>
      </c>
      <c r="AD175" s="128"/>
      <c r="AE175" s="127" t="s">
        <v>785</v>
      </c>
      <c r="AF175" s="128"/>
      <c r="AG175" s="128"/>
      <c r="AH175" s="128"/>
      <c r="AI175" s="128"/>
      <c r="AJ175" s="128"/>
      <c r="AK175" s="128"/>
      <c r="AL175" s="128"/>
      <c r="AM175" s="128"/>
    </row>
    <row r="176" customHeight="1" spans="1:39">
      <c r="A176" s="127" t="s">
        <v>39</v>
      </c>
      <c r="B176" s="127" t="s">
        <v>40</v>
      </c>
      <c r="C176" s="127" t="s">
        <v>41</v>
      </c>
      <c r="D176" s="127" t="s">
        <v>368</v>
      </c>
      <c r="E176" s="127"/>
      <c r="F176" s="127" t="s">
        <v>43</v>
      </c>
      <c r="G176" s="127" t="s">
        <v>44</v>
      </c>
      <c r="H176" s="127" t="s">
        <v>45</v>
      </c>
      <c r="I176" s="127">
        <v>7001221</v>
      </c>
      <c r="J176" s="127" t="s">
        <v>46</v>
      </c>
      <c r="K176" s="127">
        <v>13656706121</v>
      </c>
      <c r="L176" s="127" t="s">
        <v>625</v>
      </c>
      <c r="M176" s="127"/>
      <c r="N176" s="127" t="s">
        <v>626</v>
      </c>
      <c r="O176" s="127" t="s">
        <v>627</v>
      </c>
      <c r="P176" s="127" t="s">
        <v>628</v>
      </c>
      <c r="Q176" s="127">
        <v>13511426606</v>
      </c>
      <c r="R176" s="127" t="s">
        <v>765</v>
      </c>
      <c r="S176" s="127" t="s">
        <v>766</v>
      </c>
      <c r="T176" s="127"/>
      <c r="U176" s="127" t="s">
        <v>767</v>
      </c>
      <c r="V176" s="127">
        <v>15157083323</v>
      </c>
      <c r="W176" s="127" t="s">
        <v>786</v>
      </c>
      <c r="X176" s="127" t="s">
        <v>787</v>
      </c>
      <c r="Y176" s="127" t="s">
        <v>788</v>
      </c>
      <c r="Z176" s="127" t="s">
        <v>789</v>
      </c>
      <c r="AA176" s="128">
        <v>102.9</v>
      </c>
      <c r="AB176" s="128">
        <v>28.97</v>
      </c>
      <c r="AC176" s="128">
        <v>28.21</v>
      </c>
      <c r="AD176" s="128"/>
      <c r="AE176" s="127" t="s">
        <v>772</v>
      </c>
      <c r="AF176" s="128"/>
      <c r="AG176" s="128"/>
      <c r="AH176" s="128"/>
      <c r="AI176" s="128"/>
      <c r="AJ176" s="128"/>
      <c r="AK176" s="128"/>
      <c r="AL176" s="128"/>
      <c r="AM176" s="128"/>
    </row>
    <row r="177" customHeight="1" spans="1:39">
      <c r="A177" s="127" t="s">
        <v>39</v>
      </c>
      <c r="B177" s="127" t="s">
        <v>40</v>
      </c>
      <c r="C177" s="127" t="s">
        <v>41</v>
      </c>
      <c r="D177" s="127" t="s">
        <v>368</v>
      </c>
      <c r="E177" s="127"/>
      <c r="F177" s="127" t="s">
        <v>43</v>
      </c>
      <c r="G177" s="127" t="s">
        <v>44</v>
      </c>
      <c r="H177" s="127" t="s">
        <v>45</v>
      </c>
      <c r="I177" s="127">
        <v>7001221</v>
      </c>
      <c r="J177" s="127" t="s">
        <v>46</v>
      </c>
      <c r="K177" s="127">
        <v>13656706121</v>
      </c>
      <c r="L177" s="127" t="s">
        <v>625</v>
      </c>
      <c r="M177" s="127"/>
      <c r="N177" s="127" t="s">
        <v>626</v>
      </c>
      <c r="O177" s="127" t="s">
        <v>627</v>
      </c>
      <c r="P177" s="127" t="s">
        <v>628</v>
      </c>
      <c r="Q177" s="127">
        <v>13511426606</v>
      </c>
      <c r="R177" s="127" t="s">
        <v>765</v>
      </c>
      <c r="S177" s="127" t="s">
        <v>766</v>
      </c>
      <c r="T177" s="127"/>
      <c r="U177" s="127" t="s">
        <v>767</v>
      </c>
      <c r="V177" s="127">
        <v>15157083323</v>
      </c>
      <c r="W177" s="127" t="s">
        <v>786</v>
      </c>
      <c r="X177" s="127" t="s">
        <v>787</v>
      </c>
      <c r="Y177" s="127" t="s">
        <v>790</v>
      </c>
      <c r="Z177" s="127" t="s">
        <v>791</v>
      </c>
      <c r="AA177" s="128">
        <v>10.502</v>
      </c>
      <c r="AB177" s="128">
        <v>11.63</v>
      </c>
      <c r="AC177" s="128">
        <v>11.23</v>
      </c>
      <c r="AD177" s="128"/>
      <c r="AE177" s="127" t="s">
        <v>792</v>
      </c>
      <c r="AF177" s="128"/>
      <c r="AG177" s="128"/>
      <c r="AH177" s="128"/>
      <c r="AI177" s="128"/>
      <c r="AJ177" s="128"/>
      <c r="AK177" s="128"/>
      <c r="AL177" s="128"/>
      <c r="AM177" s="128"/>
    </row>
    <row r="178" customHeight="1" spans="1:39">
      <c r="A178" s="127" t="s">
        <v>39</v>
      </c>
      <c r="B178" s="127" t="s">
        <v>40</v>
      </c>
      <c r="C178" s="127" t="s">
        <v>41</v>
      </c>
      <c r="D178" s="127" t="s">
        <v>368</v>
      </c>
      <c r="E178" s="127"/>
      <c r="F178" s="127" t="s">
        <v>43</v>
      </c>
      <c r="G178" s="127" t="s">
        <v>44</v>
      </c>
      <c r="H178" s="127" t="s">
        <v>45</v>
      </c>
      <c r="I178" s="127">
        <v>7001221</v>
      </c>
      <c r="J178" s="127" t="s">
        <v>46</v>
      </c>
      <c r="K178" s="127">
        <v>13656706121</v>
      </c>
      <c r="L178" s="127" t="s">
        <v>625</v>
      </c>
      <c r="M178" s="127"/>
      <c r="N178" s="127" t="s">
        <v>626</v>
      </c>
      <c r="O178" s="127" t="s">
        <v>627</v>
      </c>
      <c r="P178" s="127" t="s">
        <v>628</v>
      </c>
      <c r="Q178" s="127">
        <v>13511426606</v>
      </c>
      <c r="R178" s="127" t="s">
        <v>765</v>
      </c>
      <c r="S178" s="127" t="s">
        <v>766</v>
      </c>
      <c r="T178" s="127"/>
      <c r="U178" s="127" t="s">
        <v>767</v>
      </c>
      <c r="V178" s="127">
        <v>15157083323</v>
      </c>
      <c r="W178" s="127" t="s">
        <v>793</v>
      </c>
      <c r="X178" s="127" t="s">
        <v>794</v>
      </c>
      <c r="Y178" s="127" t="s">
        <v>795</v>
      </c>
      <c r="Z178" s="127" t="s">
        <v>796</v>
      </c>
      <c r="AA178" s="128">
        <v>0.5</v>
      </c>
      <c r="AB178" s="128">
        <v>0.67</v>
      </c>
      <c r="AC178" s="128">
        <v>0</v>
      </c>
      <c r="AD178" s="128"/>
      <c r="AE178" s="127" t="s">
        <v>797</v>
      </c>
      <c r="AF178" s="128"/>
      <c r="AG178" s="128"/>
      <c r="AH178" s="128"/>
      <c r="AI178" s="128"/>
      <c r="AJ178" s="128"/>
      <c r="AK178" s="128"/>
      <c r="AL178" s="128"/>
      <c r="AM178" s="128"/>
    </row>
    <row r="179" customHeight="1" spans="1:39">
      <c r="A179" s="127" t="s">
        <v>39</v>
      </c>
      <c r="B179" s="127" t="s">
        <v>40</v>
      </c>
      <c r="C179" s="127" t="s">
        <v>41</v>
      </c>
      <c r="D179" s="127" t="s">
        <v>368</v>
      </c>
      <c r="E179" s="127"/>
      <c r="F179" s="127" t="s">
        <v>43</v>
      </c>
      <c r="G179" s="127" t="s">
        <v>44</v>
      </c>
      <c r="H179" s="127" t="s">
        <v>45</v>
      </c>
      <c r="I179" s="127">
        <v>7001221</v>
      </c>
      <c r="J179" s="127" t="s">
        <v>46</v>
      </c>
      <c r="K179" s="127">
        <v>13656706121</v>
      </c>
      <c r="L179" s="127" t="s">
        <v>625</v>
      </c>
      <c r="M179" s="127"/>
      <c r="N179" s="127" t="s">
        <v>626</v>
      </c>
      <c r="O179" s="127" t="s">
        <v>627</v>
      </c>
      <c r="P179" s="127" t="s">
        <v>628</v>
      </c>
      <c r="Q179" s="127">
        <v>13511426606</v>
      </c>
      <c r="R179" s="127" t="s">
        <v>765</v>
      </c>
      <c r="S179" s="127" t="s">
        <v>766</v>
      </c>
      <c r="T179" s="127"/>
      <c r="U179" s="127" t="s">
        <v>767</v>
      </c>
      <c r="V179" s="127">
        <v>15157083323</v>
      </c>
      <c r="W179" s="127" t="s">
        <v>793</v>
      </c>
      <c r="X179" s="127" t="s">
        <v>794</v>
      </c>
      <c r="Y179" s="127" t="s">
        <v>798</v>
      </c>
      <c r="Z179" s="127" t="s">
        <v>799</v>
      </c>
      <c r="AA179" s="128">
        <v>65.83</v>
      </c>
      <c r="AB179" s="128">
        <v>67.5</v>
      </c>
      <c r="AC179" s="128">
        <v>66.07</v>
      </c>
      <c r="AD179" s="128"/>
      <c r="AE179" s="127" t="s">
        <v>800</v>
      </c>
      <c r="AF179" s="128"/>
      <c r="AG179" s="128"/>
      <c r="AH179" s="128"/>
      <c r="AI179" s="128"/>
      <c r="AJ179" s="128"/>
      <c r="AK179" s="128"/>
      <c r="AL179" s="128"/>
      <c r="AM179" s="128"/>
    </row>
    <row r="180" customHeight="1" spans="1:39">
      <c r="A180" s="127" t="s">
        <v>39</v>
      </c>
      <c r="B180" s="127" t="s">
        <v>40</v>
      </c>
      <c r="C180" s="127" t="s">
        <v>41</v>
      </c>
      <c r="D180" s="127" t="s">
        <v>624</v>
      </c>
      <c r="E180" s="127"/>
      <c r="F180" s="127" t="s">
        <v>43</v>
      </c>
      <c r="G180" s="127" t="s">
        <v>44</v>
      </c>
      <c r="H180" s="127" t="s">
        <v>45</v>
      </c>
      <c r="I180" s="127">
        <v>7001221</v>
      </c>
      <c r="J180" s="127" t="s">
        <v>46</v>
      </c>
      <c r="K180" s="127">
        <v>13656706121</v>
      </c>
      <c r="L180" s="127" t="s">
        <v>625</v>
      </c>
      <c r="M180" s="127"/>
      <c r="N180" s="127" t="s">
        <v>626</v>
      </c>
      <c r="O180" s="127" t="s">
        <v>627</v>
      </c>
      <c r="P180" s="127" t="s">
        <v>628</v>
      </c>
      <c r="Q180" s="127">
        <v>13511426606</v>
      </c>
      <c r="R180" s="127" t="s">
        <v>801</v>
      </c>
      <c r="S180" s="127" t="s">
        <v>802</v>
      </c>
      <c r="T180" s="127"/>
      <c r="U180" s="127" t="s">
        <v>803</v>
      </c>
      <c r="V180" s="127">
        <v>13656703491</v>
      </c>
      <c r="W180" s="127" t="s">
        <v>804</v>
      </c>
      <c r="X180" s="127" t="s">
        <v>805</v>
      </c>
      <c r="Y180" s="127" t="s">
        <v>806</v>
      </c>
      <c r="Z180" s="127" t="s">
        <v>807</v>
      </c>
      <c r="AA180" s="128">
        <v>2392.78</v>
      </c>
      <c r="AB180" s="128">
        <v>108.85</v>
      </c>
      <c r="AC180" s="128">
        <v>108.87</v>
      </c>
      <c r="AD180" s="128"/>
      <c r="AE180" s="127" t="s">
        <v>355</v>
      </c>
      <c r="AF180" s="128"/>
      <c r="AG180" s="128"/>
      <c r="AH180" s="128"/>
      <c r="AI180" s="128"/>
      <c r="AJ180" s="128"/>
      <c r="AK180" s="128"/>
      <c r="AL180" s="128"/>
      <c r="AM180" s="128"/>
    </row>
    <row r="181" customHeight="1" spans="1:39">
      <c r="A181" s="127" t="s">
        <v>39</v>
      </c>
      <c r="B181" s="127" t="s">
        <v>40</v>
      </c>
      <c r="C181" s="127" t="s">
        <v>41</v>
      </c>
      <c r="D181" s="127" t="s">
        <v>624</v>
      </c>
      <c r="E181" s="127"/>
      <c r="F181" s="127" t="s">
        <v>43</v>
      </c>
      <c r="G181" s="127" t="s">
        <v>44</v>
      </c>
      <c r="H181" s="127" t="s">
        <v>45</v>
      </c>
      <c r="I181" s="127">
        <v>7001221</v>
      </c>
      <c r="J181" s="127" t="s">
        <v>46</v>
      </c>
      <c r="K181" s="127">
        <v>13656706121</v>
      </c>
      <c r="L181" s="127" t="s">
        <v>625</v>
      </c>
      <c r="M181" s="127"/>
      <c r="N181" s="127" t="s">
        <v>626</v>
      </c>
      <c r="O181" s="127" t="s">
        <v>627</v>
      </c>
      <c r="P181" s="127" t="s">
        <v>628</v>
      </c>
      <c r="Q181" s="127">
        <v>13511426606</v>
      </c>
      <c r="R181" s="127" t="s">
        <v>801</v>
      </c>
      <c r="S181" s="127" t="s">
        <v>802</v>
      </c>
      <c r="T181" s="127"/>
      <c r="U181" s="127" t="s">
        <v>803</v>
      </c>
      <c r="V181" s="127">
        <v>13656703491</v>
      </c>
      <c r="W181" s="127" t="s">
        <v>808</v>
      </c>
      <c r="X181" s="127" t="s">
        <v>809</v>
      </c>
      <c r="Y181" s="127" t="s">
        <v>810</v>
      </c>
      <c r="Z181" s="127" t="s">
        <v>811</v>
      </c>
      <c r="AA181" s="128">
        <v>2392.78</v>
      </c>
      <c r="AB181" s="128">
        <v>108.44</v>
      </c>
      <c r="AC181" s="128">
        <v>107.06</v>
      </c>
      <c r="AD181" s="128"/>
      <c r="AE181" s="127" t="s">
        <v>355</v>
      </c>
      <c r="AF181" s="128"/>
      <c r="AG181" s="128"/>
      <c r="AH181" s="128"/>
      <c r="AI181" s="128"/>
      <c r="AJ181" s="128"/>
      <c r="AK181" s="128"/>
      <c r="AL181" s="128"/>
      <c r="AM181" s="128"/>
    </row>
    <row r="182" customHeight="1" spans="1:39">
      <c r="A182" s="127" t="s">
        <v>39</v>
      </c>
      <c r="B182" s="127" t="s">
        <v>40</v>
      </c>
      <c r="C182" s="127" t="s">
        <v>41</v>
      </c>
      <c r="D182" s="127" t="s">
        <v>624</v>
      </c>
      <c r="E182" s="127"/>
      <c r="F182" s="127" t="s">
        <v>43</v>
      </c>
      <c r="G182" s="127" t="s">
        <v>44</v>
      </c>
      <c r="H182" s="127" t="s">
        <v>45</v>
      </c>
      <c r="I182" s="127">
        <v>7001221</v>
      </c>
      <c r="J182" s="127" t="s">
        <v>46</v>
      </c>
      <c r="K182" s="127">
        <v>13656706121</v>
      </c>
      <c r="L182" s="127" t="s">
        <v>625</v>
      </c>
      <c r="M182" s="127"/>
      <c r="N182" s="127" t="s">
        <v>626</v>
      </c>
      <c r="O182" s="127" t="s">
        <v>627</v>
      </c>
      <c r="P182" s="127" t="s">
        <v>628</v>
      </c>
      <c r="Q182" s="127">
        <v>13511426606</v>
      </c>
      <c r="R182" s="127" t="s">
        <v>801</v>
      </c>
      <c r="S182" s="127" t="s">
        <v>802</v>
      </c>
      <c r="T182" s="127"/>
      <c r="U182" s="127" t="s">
        <v>803</v>
      </c>
      <c r="V182" s="127">
        <v>13656703491</v>
      </c>
      <c r="W182" s="127" t="s">
        <v>812</v>
      </c>
      <c r="X182" s="127" t="s">
        <v>813</v>
      </c>
      <c r="Y182" s="127" t="s">
        <v>814</v>
      </c>
      <c r="Z182" s="127" t="s">
        <v>815</v>
      </c>
      <c r="AA182" s="128">
        <v>2392.78</v>
      </c>
      <c r="AB182" s="128">
        <v>61.42</v>
      </c>
      <c r="AC182" s="128">
        <v>64.42</v>
      </c>
      <c r="AD182" s="128"/>
      <c r="AE182" s="127" t="s">
        <v>355</v>
      </c>
      <c r="AF182" s="128"/>
      <c r="AG182" s="128"/>
      <c r="AH182" s="128"/>
      <c r="AI182" s="128"/>
      <c r="AJ182" s="128"/>
      <c r="AK182" s="128"/>
      <c r="AL182" s="128"/>
      <c r="AM182" s="128"/>
    </row>
    <row r="183" customHeight="1" spans="1:39">
      <c r="A183" s="127" t="s">
        <v>39</v>
      </c>
      <c r="B183" s="127" t="s">
        <v>40</v>
      </c>
      <c r="C183" s="127" t="s">
        <v>41</v>
      </c>
      <c r="D183" s="127" t="s">
        <v>624</v>
      </c>
      <c r="E183" s="127"/>
      <c r="F183" s="127" t="s">
        <v>43</v>
      </c>
      <c r="G183" s="127" t="s">
        <v>44</v>
      </c>
      <c r="H183" s="127" t="s">
        <v>45</v>
      </c>
      <c r="I183" s="127">
        <v>7001221</v>
      </c>
      <c r="J183" s="127" t="s">
        <v>46</v>
      </c>
      <c r="K183" s="127">
        <v>13656706121</v>
      </c>
      <c r="L183" s="127" t="s">
        <v>625</v>
      </c>
      <c r="M183" s="127"/>
      <c r="N183" s="127" t="s">
        <v>626</v>
      </c>
      <c r="O183" s="127" t="s">
        <v>627</v>
      </c>
      <c r="P183" s="127" t="s">
        <v>628</v>
      </c>
      <c r="Q183" s="127">
        <v>13511426606</v>
      </c>
      <c r="R183" s="127" t="s">
        <v>801</v>
      </c>
      <c r="S183" s="127" t="s">
        <v>802</v>
      </c>
      <c r="T183" s="127"/>
      <c r="U183" s="127" t="s">
        <v>803</v>
      </c>
      <c r="V183" s="127">
        <v>13656703491</v>
      </c>
      <c r="W183" s="127" t="s">
        <v>816</v>
      </c>
      <c r="X183" s="127" t="s">
        <v>817</v>
      </c>
      <c r="Y183" s="127" t="s">
        <v>818</v>
      </c>
      <c r="Z183" s="127" t="s">
        <v>819</v>
      </c>
      <c r="AA183" s="128">
        <v>2392.78</v>
      </c>
      <c r="AB183" s="128">
        <v>101.17</v>
      </c>
      <c r="AC183" s="128">
        <v>101.2</v>
      </c>
      <c r="AD183" s="128"/>
      <c r="AE183" s="127" t="s">
        <v>355</v>
      </c>
      <c r="AF183" s="128"/>
      <c r="AG183" s="128"/>
      <c r="AH183" s="128"/>
      <c r="AI183" s="128"/>
      <c r="AJ183" s="128"/>
      <c r="AK183" s="128"/>
      <c r="AL183" s="128"/>
      <c r="AM183" s="128"/>
    </row>
    <row r="184" customHeight="1" spans="1:39">
      <c r="A184" s="127" t="s">
        <v>39</v>
      </c>
      <c r="B184" s="127" t="s">
        <v>40</v>
      </c>
      <c r="C184" s="127" t="s">
        <v>41</v>
      </c>
      <c r="D184" s="127" t="s">
        <v>624</v>
      </c>
      <c r="E184" s="127"/>
      <c r="F184" s="127" t="s">
        <v>43</v>
      </c>
      <c r="G184" s="127" t="s">
        <v>44</v>
      </c>
      <c r="H184" s="127" t="s">
        <v>45</v>
      </c>
      <c r="I184" s="127">
        <v>7001221</v>
      </c>
      <c r="J184" s="127" t="s">
        <v>46</v>
      </c>
      <c r="K184" s="127">
        <v>13656706121</v>
      </c>
      <c r="L184" s="127" t="s">
        <v>625</v>
      </c>
      <c r="M184" s="127"/>
      <c r="N184" s="127" t="s">
        <v>626</v>
      </c>
      <c r="O184" s="127" t="s">
        <v>627</v>
      </c>
      <c r="P184" s="127" t="s">
        <v>628</v>
      </c>
      <c r="Q184" s="127">
        <v>13511426606</v>
      </c>
      <c r="R184" s="127" t="s">
        <v>801</v>
      </c>
      <c r="S184" s="127" t="s">
        <v>802</v>
      </c>
      <c r="T184" s="127"/>
      <c r="U184" s="127" t="s">
        <v>803</v>
      </c>
      <c r="V184" s="127">
        <v>13656703491</v>
      </c>
      <c r="W184" s="127" t="s">
        <v>820</v>
      </c>
      <c r="X184" s="127" t="s">
        <v>821</v>
      </c>
      <c r="Y184" s="127" t="s">
        <v>822</v>
      </c>
      <c r="Z184" s="127" t="s">
        <v>823</v>
      </c>
      <c r="AA184" s="128">
        <v>2392.78</v>
      </c>
      <c r="AB184" s="128">
        <v>49.18</v>
      </c>
      <c r="AC184" s="128">
        <v>47.77</v>
      </c>
      <c r="AD184" s="128"/>
      <c r="AE184" s="127" t="s">
        <v>355</v>
      </c>
      <c r="AF184" s="128"/>
      <c r="AG184" s="128"/>
      <c r="AH184" s="128"/>
      <c r="AI184" s="128"/>
      <c r="AJ184" s="128"/>
      <c r="AK184" s="128"/>
      <c r="AL184" s="128"/>
      <c r="AM184" s="128"/>
    </row>
    <row r="185" customHeight="1" spans="1:39">
      <c r="A185" s="127" t="s">
        <v>39</v>
      </c>
      <c r="B185" s="127" t="s">
        <v>40</v>
      </c>
      <c r="C185" s="127" t="s">
        <v>41</v>
      </c>
      <c r="D185" s="127" t="s">
        <v>624</v>
      </c>
      <c r="E185" s="127"/>
      <c r="F185" s="127" t="s">
        <v>43</v>
      </c>
      <c r="G185" s="127" t="s">
        <v>44</v>
      </c>
      <c r="H185" s="127" t="s">
        <v>45</v>
      </c>
      <c r="I185" s="127">
        <v>7001221</v>
      </c>
      <c r="J185" s="127" t="s">
        <v>46</v>
      </c>
      <c r="K185" s="127">
        <v>13656706121</v>
      </c>
      <c r="L185" s="127" t="s">
        <v>625</v>
      </c>
      <c r="M185" s="127"/>
      <c r="N185" s="127" t="s">
        <v>626</v>
      </c>
      <c r="O185" s="127" t="s">
        <v>627</v>
      </c>
      <c r="P185" s="127" t="s">
        <v>628</v>
      </c>
      <c r="Q185" s="127">
        <v>13511426606</v>
      </c>
      <c r="R185" s="127" t="s">
        <v>801</v>
      </c>
      <c r="S185" s="127" t="s">
        <v>802</v>
      </c>
      <c r="T185" s="127"/>
      <c r="U185" s="127" t="s">
        <v>803</v>
      </c>
      <c r="V185" s="127">
        <v>13656703491</v>
      </c>
      <c r="W185" s="127" t="s">
        <v>824</v>
      </c>
      <c r="X185" s="127" t="s">
        <v>825</v>
      </c>
      <c r="Y185" s="127" t="s">
        <v>826</v>
      </c>
      <c r="Z185" s="127" t="s">
        <v>827</v>
      </c>
      <c r="AA185" s="128">
        <v>251.4</v>
      </c>
      <c r="AB185" s="128">
        <v>10.38</v>
      </c>
      <c r="AC185" s="128">
        <v>10.38</v>
      </c>
      <c r="AD185" s="128"/>
      <c r="AE185" s="127" t="s">
        <v>696</v>
      </c>
      <c r="AF185" s="128"/>
      <c r="AG185" s="128"/>
      <c r="AH185" s="128"/>
      <c r="AI185" s="128"/>
      <c r="AJ185" s="128"/>
      <c r="AK185" s="128"/>
      <c r="AL185" s="128"/>
      <c r="AM185" s="128"/>
    </row>
    <row r="186" customHeight="1" spans="1:39">
      <c r="A186" s="127" t="s">
        <v>39</v>
      </c>
      <c r="B186" s="127" t="s">
        <v>40</v>
      </c>
      <c r="C186" s="127" t="s">
        <v>41</v>
      </c>
      <c r="D186" s="127" t="s">
        <v>624</v>
      </c>
      <c r="E186" s="127"/>
      <c r="F186" s="127" t="s">
        <v>43</v>
      </c>
      <c r="G186" s="127" t="s">
        <v>44</v>
      </c>
      <c r="H186" s="127" t="s">
        <v>45</v>
      </c>
      <c r="I186" s="127">
        <v>7001221</v>
      </c>
      <c r="J186" s="127" t="s">
        <v>46</v>
      </c>
      <c r="K186" s="127">
        <v>13656706121</v>
      </c>
      <c r="L186" s="127" t="s">
        <v>625</v>
      </c>
      <c r="M186" s="127"/>
      <c r="N186" s="127" t="s">
        <v>626</v>
      </c>
      <c r="O186" s="127" t="s">
        <v>627</v>
      </c>
      <c r="P186" s="127" t="s">
        <v>628</v>
      </c>
      <c r="Q186" s="127">
        <v>13511426606</v>
      </c>
      <c r="R186" s="127" t="s">
        <v>801</v>
      </c>
      <c r="S186" s="127" t="s">
        <v>802</v>
      </c>
      <c r="T186" s="127"/>
      <c r="U186" s="127" t="s">
        <v>803</v>
      </c>
      <c r="V186" s="127">
        <v>13656703491</v>
      </c>
      <c r="W186" s="127" t="s">
        <v>824</v>
      </c>
      <c r="X186" s="127" t="s">
        <v>825</v>
      </c>
      <c r="Y186" s="127" t="s">
        <v>828</v>
      </c>
      <c r="Z186" s="127" t="s">
        <v>829</v>
      </c>
      <c r="AA186" s="128">
        <v>2392.78</v>
      </c>
      <c r="AB186" s="128">
        <v>260.76</v>
      </c>
      <c r="AC186" s="128">
        <v>259.72</v>
      </c>
      <c r="AD186" s="128"/>
      <c r="AE186" s="127" t="s">
        <v>355</v>
      </c>
      <c r="AF186" s="128"/>
      <c r="AG186" s="128"/>
      <c r="AH186" s="128"/>
      <c r="AI186" s="128"/>
      <c r="AJ186" s="128"/>
      <c r="AK186" s="128"/>
      <c r="AL186" s="128"/>
      <c r="AM186" s="128"/>
    </row>
    <row r="187" customHeight="1" spans="1:39">
      <c r="A187" s="127" t="s">
        <v>39</v>
      </c>
      <c r="B187" s="127" t="s">
        <v>40</v>
      </c>
      <c r="C187" s="127" t="s">
        <v>41</v>
      </c>
      <c r="D187" s="127" t="s">
        <v>624</v>
      </c>
      <c r="E187" s="127"/>
      <c r="F187" s="127" t="s">
        <v>43</v>
      </c>
      <c r="G187" s="127" t="s">
        <v>44</v>
      </c>
      <c r="H187" s="127" t="s">
        <v>45</v>
      </c>
      <c r="I187" s="127">
        <v>7001221</v>
      </c>
      <c r="J187" s="127" t="s">
        <v>46</v>
      </c>
      <c r="K187" s="127">
        <v>13656706121</v>
      </c>
      <c r="L187" s="127" t="s">
        <v>625</v>
      </c>
      <c r="M187" s="127"/>
      <c r="N187" s="127" t="s">
        <v>626</v>
      </c>
      <c r="O187" s="127" t="s">
        <v>627</v>
      </c>
      <c r="P187" s="127" t="s">
        <v>628</v>
      </c>
      <c r="Q187" s="127">
        <v>13511426606</v>
      </c>
      <c r="R187" s="127" t="s">
        <v>801</v>
      </c>
      <c r="S187" s="127" t="s">
        <v>802</v>
      </c>
      <c r="T187" s="127"/>
      <c r="U187" s="127" t="s">
        <v>803</v>
      </c>
      <c r="V187" s="127">
        <v>13656703491</v>
      </c>
      <c r="W187" s="127" t="s">
        <v>830</v>
      </c>
      <c r="X187" s="127" t="s">
        <v>831</v>
      </c>
      <c r="Y187" s="127" t="s">
        <v>832</v>
      </c>
      <c r="Z187" s="127" t="s">
        <v>833</v>
      </c>
      <c r="AA187" s="128">
        <v>251.4</v>
      </c>
      <c r="AB187" s="128">
        <v>3.47</v>
      </c>
      <c r="AC187" s="128">
        <v>3.48</v>
      </c>
      <c r="AD187" s="128"/>
      <c r="AE187" s="127" t="s">
        <v>696</v>
      </c>
      <c r="AF187" s="128"/>
      <c r="AG187" s="128"/>
      <c r="AH187" s="128"/>
      <c r="AI187" s="128"/>
      <c r="AJ187" s="128"/>
      <c r="AK187" s="128"/>
      <c r="AL187" s="128"/>
      <c r="AM187" s="128"/>
    </row>
    <row r="188" customHeight="1" spans="1:39">
      <c r="A188" s="127" t="s">
        <v>39</v>
      </c>
      <c r="B188" s="127" t="s">
        <v>40</v>
      </c>
      <c r="C188" s="127" t="s">
        <v>41</v>
      </c>
      <c r="D188" s="127" t="s">
        <v>624</v>
      </c>
      <c r="E188" s="127"/>
      <c r="F188" s="127" t="s">
        <v>43</v>
      </c>
      <c r="G188" s="127" t="s">
        <v>44</v>
      </c>
      <c r="H188" s="127" t="s">
        <v>45</v>
      </c>
      <c r="I188" s="127">
        <v>7001221</v>
      </c>
      <c r="J188" s="127" t="s">
        <v>46</v>
      </c>
      <c r="K188" s="127">
        <v>13656706121</v>
      </c>
      <c r="L188" s="127" t="s">
        <v>625</v>
      </c>
      <c r="M188" s="127"/>
      <c r="N188" s="127" t="s">
        <v>626</v>
      </c>
      <c r="O188" s="127" t="s">
        <v>627</v>
      </c>
      <c r="P188" s="127" t="s">
        <v>628</v>
      </c>
      <c r="Q188" s="127">
        <v>13511426606</v>
      </c>
      <c r="R188" s="127" t="s">
        <v>801</v>
      </c>
      <c r="S188" s="127" t="s">
        <v>802</v>
      </c>
      <c r="T188" s="127"/>
      <c r="U188" s="127" t="s">
        <v>803</v>
      </c>
      <c r="V188" s="127">
        <v>13656703491</v>
      </c>
      <c r="W188" s="127" t="s">
        <v>834</v>
      </c>
      <c r="X188" s="127" t="s">
        <v>726</v>
      </c>
      <c r="Y188" s="127" t="s">
        <v>835</v>
      </c>
      <c r="Z188" s="127" t="s">
        <v>730</v>
      </c>
      <c r="AA188" s="128">
        <v>2392.78</v>
      </c>
      <c r="AB188" s="128">
        <v>41</v>
      </c>
      <c r="AC188" s="128">
        <v>41.01</v>
      </c>
      <c r="AD188" s="128"/>
      <c r="AE188" s="127" t="s">
        <v>355</v>
      </c>
      <c r="AF188" s="128"/>
      <c r="AG188" s="128"/>
      <c r="AH188" s="128"/>
      <c r="AI188" s="128"/>
      <c r="AJ188" s="128"/>
      <c r="AK188" s="128"/>
      <c r="AL188" s="128"/>
      <c r="AM188" s="128"/>
    </row>
    <row r="189" customHeight="1" spans="1:39">
      <c r="A189" s="127" t="s">
        <v>39</v>
      </c>
      <c r="B189" s="127" t="s">
        <v>40</v>
      </c>
      <c r="C189" s="127" t="s">
        <v>41</v>
      </c>
      <c r="D189" s="127" t="s">
        <v>624</v>
      </c>
      <c r="E189" s="127"/>
      <c r="F189" s="127" t="s">
        <v>43</v>
      </c>
      <c r="G189" s="127" t="s">
        <v>44</v>
      </c>
      <c r="H189" s="127" t="s">
        <v>45</v>
      </c>
      <c r="I189" s="127">
        <v>7001221</v>
      </c>
      <c r="J189" s="127" t="s">
        <v>46</v>
      </c>
      <c r="K189" s="127">
        <v>13656706121</v>
      </c>
      <c r="L189" s="127" t="s">
        <v>625</v>
      </c>
      <c r="M189" s="127"/>
      <c r="N189" s="127" t="s">
        <v>626</v>
      </c>
      <c r="O189" s="127" t="s">
        <v>627</v>
      </c>
      <c r="P189" s="127" t="s">
        <v>628</v>
      </c>
      <c r="Q189" s="127">
        <v>13511426606</v>
      </c>
      <c r="R189" s="127" t="s">
        <v>836</v>
      </c>
      <c r="S189" s="127" t="s">
        <v>837</v>
      </c>
      <c r="T189" s="127"/>
      <c r="U189" s="127" t="s">
        <v>643</v>
      </c>
      <c r="V189" s="127">
        <v>13757046168</v>
      </c>
      <c r="W189" s="127" t="s">
        <v>838</v>
      </c>
      <c r="X189" s="127" t="s">
        <v>839</v>
      </c>
      <c r="Y189" s="127" t="s">
        <v>840</v>
      </c>
      <c r="Z189" s="127" t="s">
        <v>841</v>
      </c>
      <c r="AA189" s="128">
        <v>4</v>
      </c>
      <c r="AB189" s="128">
        <v>5.73</v>
      </c>
      <c r="AC189" s="128">
        <v>5.74</v>
      </c>
      <c r="AD189" s="128"/>
      <c r="AE189" s="127" t="s">
        <v>842</v>
      </c>
      <c r="AF189" s="128"/>
      <c r="AG189" s="128"/>
      <c r="AH189" s="128"/>
      <c r="AI189" s="128"/>
      <c r="AJ189" s="128"/>
      <c r="AK189" s="128"/>
      <c r="AL189" s="128"/>
      <c r="AM189" s="128"/>
    </row>
    <row r="190" customHeight="1" spans="1:39">
      <c r="A190" s="127" t="s">
        <v>39</v>
      </c>
      <c r="B190" s="127" t="s">
        <v>40</v>
      </c>
      <c r="C190" s="127" t="s">
        <v>41</v>
      </c>
      <c r="D190" s="127" t="s">
        <v>312</v>
      </c>
      <c r="E190" s="127"/>
      <c r="F190" s="127" t="s">
        <v>43</v>
      </c>
      <c r="G190" s="127" t="s">
        <v>44</v>
      </c>
      <c r="H190" s="127" t="s">
        <v>45</v>
      </c>
      <c r="I190" s="127">
        <v>7001221</v>
      </c>
      <c r="J190" s="127" t="s">
        <v>46</v>
      </c>
      <c r="K190" s="127">
        <v>13656706121</v>
      </c>
      <c r="L190" s="127" t="s">
        <v>625</v>
      </c>
      <c r="M190" s="127"/>
      <c r="N190" s="127" t="s">
        <v>626</v>
      </c>
      <c r="O190" s="127" t="s">
        <v>627</v>
      </c>
      <c r="P190" s="127" t="s">
        <v>628</v>
      </c>
      <c r="Q190" s="127">
        <v>13511426606</v>
      </c>
      <c r="R190" s="127" t="s">
        <v>843</v>
      </c>
      <c r="S190" s="127" t="s">
        <v>844</v>
      </c>
      <c r="T190" s="127"/>
      <c r="U190" s="127" t="s">
        <v>845</v>
      </c>
      <c r="V190" s="127">
        <v>13567050116</v>
      </c>
      <c r="W190" s="127" t="s">
        <v>846</v>
      </c>
      <c r="X190" s="127" t="s">
        <v>847</v>
      </c>
      <c r="Y190" s="127" t="s">
        <v>848</v>
      </c>
      <c r="Z190" s="127" t="s">
        <v>849</v>
      </c>
      <c r="AA190" s="128">
        <v>182.37</v>
      </c>
      <c r="AB190" s="128">
        <v>27.14</v>
      </c>
      <c r="AC190" s="128">
        <v>27.14</v>
      </c>
      <c r="AD190" s="128"/>
      <c r="AE190" s="127" t="s">
        <v>850</v>
      </c>
      <c r="AF190" s="128"/>
      <c r="AG190" s="128"/>
      <c r="AH190" s="128"/>
      <c r="AI190" s="128"/>
      <c r="AJ190" s="128"/>
      <c r="AK190" s="128"/>
      <c r="AL190" s="128"/>
      <c r="AM190" s="128"/>
    </row>
    <row r="191" customHeight="1" spans="1:39">
      <c r="A191" s="127" t="s">
        <v>39</v>
      </c>
      <c r="B191" s="127" t="s">
        <v>40</v>
      </c>
      <c r="C191" s="127" t="s">
        <v>41</v>
      </c>
      <c r="D191" s="127" t="s">
        <v>312</v>
      </c>
      <c r="E191" s="127"/>
      <c r="F191" s="127" t="s">
        <v>43</v>
      </c>
      <c r="G191" s="127" t="s">
        <v>44</v>
      </c>
      <c r="H191" s="127" t="s">
        <v>45</v>
      </c>
      <c r="I191" s="127">
        <v>7001221</v>
      </c>
      <c r="J191" s="127" t="s">
        <v>46</v>
      </c>
      <c r="K191" s="127">
        <v>13656706121</v>
      </c>
      <c r="L191" s="127" t="s">
        <v>625</v>
      </c>
      <c r="M191" s="127"/>
      <c r="N191" s="127" t="s">
        <v>626</v>
      </c>
      <c r="O191" s="127" t="s">
        <v>627</v>
      </c>
      <c r="P191" s="127" t="s">
        <v>628</v>
      </c>
      <c r="Q191" s="127">
        <v>13511426606</v>
      </c>
      <c r="R191" s="127" t="s">
        <v>843</v>
      </c>
      <c r="S191" s="127" t="s">
        <v>844</v>
      </c>
      <c r="T191" s="127"/>
      <c r="U191" s="127" t="s">
        <v>845</v>
      </c>
      <c r="V191" s="127">
        <v>13567050116</v>
      </c>
      <c r="W191" s="127" t="s">
        <v>846</v>
      </c>
      <c r="X191" s="127" t="s">
        <v>847</v>
      </c>
      <c r="Y191" s="127" t="s">
        <v>851</v>
      </c>
      <c r="Z191" s="127" t="s">
        <v>852</v>
      </c>
      <c r="AA191" s="128">
        <v>30</v>
      </c>
      <c r="AB191" s="128">
        <v>43.02</v>
      </c>
      <c r="AC191" s="128">
        <v>0</v>
      </c>
      <c r="AD191" s="128"/>
      <c r="AE191" s="127" t="s">
        <v>853</v>
      </c>
      <c r="AF191" s="128"/>
      <c r="AG191" s="128"/>
      <c r="AH191" s="128"/>
      <c r="AI191" s="128"/>
      <c r="AJ191" s="128"/>
      <c r="AK191" s="128"/>
      <c r="AL191" s="128"/>
      <c r="AM191" s="128"/>
    </row>
    <row r="192" customHeight="1" spans="1:39">
      <c r="A192" s="127" t="s">
        <v>39</v>
      </c>
      <c r="B192" s="127" t="s">
        <v>40</v>
      </c>
      <c r="C192" s="127" t="s">
        <v>41</v>
      </c>
      <c r="D192" s="127" t="s">
        <v>312</v>
      </c>
      <c r="E192" s="127"/>
      <c r="F192" s="127" t="s">
        <v>43</v>
      </c>
      <c r="G192" s="127" t="s">
        <v>44</v>
      </c>
      <c r="H192" s="127" t="s">
        <v>45</v>
      </c>
      <c r="I192" s="127">
        <v>7001221</v>
      </c>
      <c r="J192" s="127" t="s">
        <v>46</v>
      </c>
      <c r="K192" s="127">
        <v>13656706121</v>
      </c>
      <c r="L192" s="127" t="s">
        <v>625</v>
      </c>
      <c r="M192" s="127"/>
      <c r="N192" s="127" t="s">
        <v>626</v>
      </c>
      <c r="O192" s="127" t="s">
        <v>627</v>
      </c>
      <c r="P192" s="127" t="s">
        <v>628</v>
      </c>
      <c r="Q192" s="127">
        <v>13511426606</v>
      </c>
      <c r="R192" s="127" t="s">
        <v>843</v>
      </c>
      <c r="S192" s="127" t="s">
        <v>844</v>
      </c>
      <c r="T192" s="127"/>
      <c r="U192" s="127" t="s">
        <v>845</v>
      </c>
      <c r="V192" s="127">
        <v>13567050116</v>
      </c>
      <c r="W192" s="127" t="s">
        <v>854</v>
      </c>
      <c r="X192" s="127" t="s">
        <v>855</v>
      </c>
      <c r="Y192" s="127" t="s">
        <v>856</v>
      </c>
      <c r="Z192" s="127" t="s">
        <v>857</v>
      </c>
      <c r="AA192" s="128">
        <v>187.6</v>
      </c>
      <c r="AB192" s="128">
        <v>35.35</v>
      </c>
      <c r="AC192" s="128">
        <v>35.36</v>
      </c>
      <c r="AD192" s="128"/>
      <c r="AE192" s="127" t="s">
        <v>858</v>
      </c>
      <c r="AF192" s="128"/>
      <c r="AG192" s="128"/>
      <c r="AH192" s="128"/>
      <c r="AI192" s="128"/>
      <c r="AJ192" s="128"/>
      <c r="AK192" s="128"/>
      <c r="AL192" s="128"/>
      <c r="AM192" s="128"/>
    </row>
    <row r="193" customHeight="1" spans="1:39">
      <c r="A193" s="127" t="s">
        <v>39</v>
      </c>
      <c r="B193" s="127" t="s">
        <v>40</v>
      </c>
      <c r="C193" s="127" t="s">
        <v>41</v>
      </c>
      <c r="D193" s="127" t="s">
        <v>312</v>
      </c>
      <c r="E193" s="127"/>
      <c r="F193" s="127" t="s">
        <v>43</v>
      </c>
      <c r="G193" s="127" t="s">
        <v>44</v>
      </c>
      <c r="H193" s="127" t="s">
        <v>45</v>
      </c>
      <c r="I193" s="127">
        <v>7001221</v>
      </c>
      <c r="J193" s="127" t="s">
        <v>46</v>
      </c>
      <c r="K193" s="127">
        <v>13656706121</v>
      </c>
      <c r="L193" s="127" t="s">
        <v>625</v>
      </c>
      <c r="M193" s="127"/>
      <c r="N193" s="127" t="s">
        <v>626</v>
      </c>
      <c r="O193" s="127" t="s">
        <v>627</v>
      </c>
      <c r="P193" s="127" t="s">
        <v>628</v>
      </c>
      <c r="Q193" s="127">
        <v>13511426606</v>
      </c>
      <c r="R193" s="127" t="s">
        <v>843</v>
      </c>
      <c r="S193" s="127" t="s">
        <v>844</v>
      </c>
      <c r="T193" s="127"/>
      <c r="U193" s="127" t="s">
        <v>845</v>
      </c>
      <c r="V193" s="127">
        <v>13567050116</v>
      </c>
      <c r="W193" s="127" t="s">
        <v>859</v>
      </c>
      <c r="X193" s="127" t="s">
        <v>860</v>
      </c>
      <c r="Y193" s="127" t="s">
        <v>861</v>
      </c>
      <c r="Z193" s="127" t="s">
        <v>862</v>
      </c>
      <c r="AA193" s="128">
        <v>187.6</v>
      </c>
      <c r="AB193" s="128">
        <v>87.75</v>
      </c>
      <c r="AC193" s="128">
        <v>87.75</v>
      </c>
      <c r="AD193" s="128"/>
      <c r="AE193" s="127" t="s">
        <v>858</v>
      </c>
      <c r="AF193" s="128"/>
      <c r="AG193" s="128"/>
      <c r="AH193" s="128"/>
      <c r="AI193" s="128"/>
      <c r="AJ193" s="128"/>
      <c r="AK193" s="128"/>
      <c r="AL193" s="128"/>
      <c r="AM193" s="128"/>
    </row>
    <row r="194" customHeight="1" spans="1:39">
      <c r="A194" s="127" t="s">
        <v>39</v>
      </c>
      <c r="B194" s="127" t="s">
        <v>40</v>
      </c>
      <c r="C194" s="127" t="s">
        <v>41</v>
      </c>
      <c r="D194" s="127" t="s">
        <v>312</v>
      </c>
      <c r="E194" s="127"/>
      <c r="F194" s="127" t="s">
        <v>43</v>
      </c>
      <c r="G194" s="127" t="s">
        <v>44</v>
      </c>
      <c r="H194" s="127" t="s">
        <v>45</v>
      </c>
      <c r="I194" s="127">
        <v>7001221</v>
      </c>
      <c r="J194" s="127" t="s">
        <v>46</v>
      </c>
      <c r="K194" s="127">
        <v>13656706121</v>
      </c>
      <c r="L194" s="127" t="s">
        <v>625</v>
      </c>
      <c r="M194" s="127"/>
      <c r="N194" s="127" t="s">
        <v>626</v>
      </c>
      <c r="O194" s="127" t="s">
        <v>627</v>
      </c>
      <c r="P194" s="127" t="s">
        <v>628</v>
      </c>
      <c r="Q194" s="127">
        <v>13511426606</v>
      </c>
      <c r="R194" s="127" t="s">
        <v>843</v>
      </c>
      <c r="S194" s="127" t="s">
        <v>844</v>
      </c>
      <c r="T194" s="127"/>
      <c r="U194" s="127" t="s">
        <v>845</v>
      </c>
      <c r="V194" s="127">
        <v>13567050116</v>
      </c>
      <c r="W194" s="127" t="s">
        <v>863</v>
      </c>
      <c r="X194" s="127" t="s">
        <v>864</v>
      </c>
      <c r="Y194" s="127" t="s">
        <v>865</v>
      </c>
      <c r="Z194" s="127" t="s">
        <v>866</v>
      </c>
      <c r="AA194" s="128">
        <v>141</v>
      </c>
      <c r="AB194" s="128">
        <v>34.64</v>
      </c>
      <c r="AC194" s="128">
        <v>34.64</v>
      </c>
      <c r="AD194" s="128"/>
      <c r="AE194" s="127" t="s">
        <v>867</v>
      </c>
      <c r="AF194" s="128"/>
      <c r="AG194" s="128"/>
      <c r="AH194" s="128"/>
      <c r="AI194" s="128"/>
      <c r="AJ194" s="128"/>
      <c r="AK194" s="128"/>
      <c r="AL194" s="128"/>
      <c r="AM194" s="128"/>
    </row>
    <row r="195" customHeight="1" spans="1:39">
      <c r="A195" s="127" t="s">
        <v>39</v>
      </c>
      <c r="B195" s="127" t="s">
        <v>40</v>
      </c>
      <c r="C195" s="127" t="s">
        <v>41</v>
      </c>
      <c r="D195" s="127" t="s">
        <v>312</v>
      </c>
      <c r="E195" s="127"/>
      <c r="F195" s="127" t="s">
        <v>43</v>
      </c>
      <c r="G195" s="127" t="s">
        <v>44</v>
      </c>
      <c r="H195" s="127" t="s">
        <v>45</v>
      </c>
      <c r="I195" s="127">
        <v>7001221</v>
      </c>
      <c r="J195" s="127" t="s">
        <v>46</v>
      </c>
      <c r="K195" s="127">
        <v>13656706121</v>
      </c>
      <c r="L195" s="127" t="s">
        <v>625</v>
      </c>
      <c r="M195" s="127"/>
      <c r="N195" s="127" t="s">
        <v>626</v>
      </c>
      <c r="O195" s="127" t="s">
        <v>627</v>
      </c>
      <c r="P195" s="127" t="s">
        <v>628</v>
      </c>
      <c r="Q195" s="127">
        <v>13511426606</v>
      </c>
      <c r="R195" s="127" t="s">
        <v>843</v>
      </c>
      <c r="S195" s="127" t="s">
        <v>844</v>
      </c>
      <c r="T195" s="127"/>
      <c r="U195" s="127" t="s">
        <v>845</v>
      </c>
      <c r="V195" s="127">
        <v>13567050116</v>
      </c>
      <c r="W195" s="127" t="s">
        <v>863</v>
      </c>
      <c r="X195" s="127" t="s">
        <v>864</v>
      </c>
      <c r="Y195" s="127" t="s">
        <v>868</v>
      </c>
      <c r="Z195" s="127" t="s">
        <v>869</v>
      </c>
      <c r="AA195" s="128">
        <v>23.3</v>
      </c>
      <c r="AB195" s="128">
        <v>14.03</v>
      </c>
      <c r="AC195" s="128">
        <v>13.43</v>
      </c>
      <c r="AD195" s="128"/>
      <c r="AE195" s="127" t="s">
        <v>870</v>
      </c>
      <c r="AF195" s="128"/>
      <c r="AG195" s="128"/>
      <c r="AH195" s="128"/>
      <c r="AI195" s="128"/>
      <c r="AJ195" s="128"/>
      <c r="AK195" s="128"/>
      <c r="AL195" s="128"/>
      <c r="AM195" s="128"/>
    </row>
    <row r="196" customHeight="1" spans="1:39">
      <c r="A196" s="127" t="s">
        <v>39</v>
      </c>
      <c r="B196" s="127" t="s">
        <v>40</v>
      </c>
      <c r="C196" s="127" t="s">
        <v>41</v>
      </c>
      <c r="D196" s="127" t="s">
        <v>312</v>
      </c>
      <c r="E196" s="127"/>
      <c r="F196" s="127" t="s">
        <v>43</v>
      </c>
      <c r="G196" s="127" t="s">
        <v>44</v>
      </c>
      <c r="H196" s="127" t="s">
        <v>45</v>
      </c>
      <c r="I196" s="127">
        <v>7001221</v>
      </c>
      <c r="J196" s="127" t="s">
        <v>46</v>
      </c>
      <c r="K196" s="127">
        <v>13656706121</v>
      </c>
      <c r="L196" s="127" t="s">
        <v>625</v>
      </c>
      <c r="M196" s="127"/>
      <c r="N196" s="127" t="s">
        <v>626</v>
      </c>
      <c r="O196" s="127" t="s">
        <v>627</v>
      </c>
      <c r="P196" s="127" t="s">
        <v>628</v>
      </c>
      <c r="Q196" s="127">
        <v>13511426606</v>
      </c>
      <c r="R196" s="127" t="s">
        <v>843</v>
      </c>
      <c r="S196" s="127" t="s">
        <v>844</v>
      </c>
      <c r="T196" s="127"/>
      <c r="U196" s="127" t="s">
        <v>845</v>
      </c>
      <c r="V196" s="127">
        <v>13567050116</v>
      </c>
      <c r="W196" s="127" t="s">
        <v>863</v>
      </c>
      <c r="X196" s="127" t="s">
        <v>864</v>
      </c>
      <c r="Y196" s="127" t="s">
        <v>871</v>
      </c>
      <c r="Z196" s="127" t="s">
        <v>872</v>
      </c>
      <c r="AA196" s="128">
        <v>182.37</v>
      </c>
      <c r="AB196" s="128">
        <v>2.4</v>
      </c>
      <c r="AC196" s="128">
        <v>2.41</v>
      </c>
      <c r="AD196" s="128"/>
      <c r="AE196" s="127" t="s">
        <v>850</v>
      </c>
      <c r="AF196" s="128"/>
      <c r="AG196" s="128"/>
      <c r="AH196" s="128"/>
      <c r="AI196" s="128"/>
      <c r="AJ196" s="128"/>
      <c r="AK196" s="128"/>
      <c r="AL196" s="128"/>
      <c r="AM196" s="128"/>
    </row>
    <row r="197" customHeight="1" spans="1:39">
      <c r="A197" s="127" t="s">
        <v>39</v>
      </c>
      <c r="B197" s="127" t="s">
        <v>40</v>
      </c>
      <c r="C197" s="127" t="s">
        <v>41</v>
      </c>
      <c r="D197" s="127" t="s">
        <v>312</v>
      </c>
      <c r="E197" s="127"/>
      <c r="F197" s="127" t="s">
        <v>43</v>
      </c>
      <c r="G197" s="127" t="s">
        <v>44</v>
      </c>
      <c r="H197" s="127" t="s">
        <v>45</v>
      </c>
      <c r="I197" s="127">
        <v>7001221</v>
      </c>
      <c r="J197" s="127" t="s">
        <v>46</v>
      </c>
      <c r="K197" s="127">
        <v>13656706121</v>
      </c>
      <c r="L197" s="127" t="s">
        <v>625</v>
      </c>
      <c r="M197" s="127"/>
      <c r="N197" s="127" t="s">
        <v>626</v>
      </c>
      <c r="O197" s="127" t="s">
        <v>627</v>
      </c>
      <c r="P197" s="127" t="s">
        <v>628</v>
      </c>
      <c r="Q197" s="127">
        <v>13511426606</v>
      </c>
      <c r="R197" s="127" t="s">
        <v>843</v>
      </c>
      <c r="S197" s="127" t="s">
        <v>844</v>
      </c>
      <c r="T197" s="127"/>
      <c r="U197" s="127" t="s">
        <v>845</v>
      </c>
      <c r="V197" s="127">
        <v>13567050116</v>
      </c>
      <c r="W197" s="127" t="s">
        <v>873</v>
      </c>
      <c r="X197" s="127" t="s">
        <v>410</v>
      </c>
      <c r="Y197" s="127" t="s">
        <v>874</v>
      </c>
      <c r="Z197" s="127" t="s">
        <v>875</v>
      </c>
      <c r="AA197" s="128">
        <v>182.37</v>
      </c>
      <c r="AB197" s="128">
        <v>134.52</v>
      </c>
      <c r="AC197" s="128">
        <v>134.02</v>
      </c>
      <c r="AD197" s="128"/>
      <c r="AE197" s="127" t="s">
        <v>850</v>
      </c>
      <c r="AF197" s="128"/>
      <c r="AG197" s="128"/>
      <c r="AH197" s="128"/>
      <c r="AI197" s="128"/>
      <c r="AJ197" s="128"/>
      <c r="AK197" s="128"/>
      <c r="AL197" s="128"/>
      <c r="AM197" s="128"/>
    </row>
    <row r="198" customHeight="1" spans="1:39">
      <c r="A198" s="127" t="s">
        <v>39</v>
      </c>
      <c r="B198" s="127" t="s">
        <v>40</v>
      </c>
      <c r="C198" s="127" t="s">
        <v>41</v>
      </c>
      <c r="D198" s="127" t="s">
        <v>312</v>
      </c>
      <c r="E198" s="127"/>
      <c r="F198" s="127" t="s">
        <v>43</v>
      </c>
      <c r="G198" s="127" t="s">
        <v>44</v>
      </c>
      <c r="H198" s="127" t="s">
        <v>45</v>
      </c>
      <c r="I198" s="127">
        <v>7001221</v>
      </c>
      <c r="J198" s="127" t="s">
        <v>46</v>
      </c>
      <c r="K198" s="127">
        <v>13656706121</v>
      </c>
      <c r="L198" s="127" t="s">
        <v>625</v>
      </c>
      <c r="M198" s="127"/>
      <c r="N198" s="127" t="s">
        <v>626</v>
      </c>
      <c r="O198" s="127" t="s">
        <v>627</v>
      </c>
      <c r="P198" s="127" t="s">
        <v>628</v>
      </c>
      <c r="Q198" s="127">
        <v>13511426606</v>
      </c>
      <c r="R198" s="127" t="s">
        <v>843</v>
      </c>
      <c r="S198" s="127" t="s">
        <v>844</v>
      </c>
      <c r="T198" s="127"/>
      <c r="U198" s="127" t="s">
        <v>845</v>
      </c>
      <c r="V198" s="127">
        <v>13567050116</v>
      </c>
      <c r="W198" s="127" t="s">
        <v>873</v>
      </c>
      <c r="X198" s="127" t="s">
        <v>410</v>
      </c>
      <c r="Y198" s="127" t="s">
        <v>876</v>
      </c>
      <c r="Z198" s="127" t="s">
        <v>877</v>
      </c>
      <c r="AA198" s="128">
        <v>2.07</v>
      </c>
      <c r="AB198" s="128">
        <v>2.12</v>
      </c>
      <c r="AC198" s="128">
        <v>2.13</v>
      </c>
      <c r="AD198" s="128"/>
      <c r="AE198" s="127" t="s">
        <v>878</v>
      </c>
      <c r="AF198" s="128"/>
      <c r="AG198" s="128"/>
      <c r="AH198" s="128"/>
      <c r="AI198" s="128"/>
      <c r="AJ198" s="128"/>
      <c r="AK198" s="128"/>
      <c r="AL198" s="128"/>
      <c r="AM198" s="128"/>
    </row>
    <row r="199" customHeight="1" spans="1:39">
      <c r="A199" s="127" t="s">
        <v>39</v>
      </c>
      <c r="B199" s="127" t="s">
        <v>40</v>
      </c>
      <c r="C199" s="127" t="s">
        <v>41</v>
      </c>
      <c r="D199" s="127" t="s">
        <v>312</v>
      </c>
      <c r="E199" s="127"/>
      <c r="F199" s="127" t="s">
        <v>43</v>
      </c>
      <c r="G199" s="127" t="s">
        <v>44</v>
      </c>
      <c r="H199" s="127" t="s">
        <v>45</v>
      </c>
      <c r="I199" s="127">
        <v>7001221</v>
      </c>
      <c r="J199" s="127" t="s">
        <v>46</v>
      </c>
      <c r="K199" s="127">
        <v>13656706121</v>
      </c>
      <c r="L199" s="127" t="s">
        <v>625</v>
      </c>
      <c r="M199" s="127"/>
      <c r="N199" s="127" t="s">
        <v>626</v>
      </c>
      <c r="O199" s="127" t="s">
        <v>627</v>
      </c>
      <c r="P199" s="127" t="s">
        <v>628</v>
      </c>
      <c r="Q199" s="127">
        <v>13511426606</v>
      </c>
      <c r="R199" s="127" t="s">
        <v>843</v>
      </c>
      <c r="S199" s="127" t="s">
        <v>844</v>
      </c>
      <c r="T199" s="127"/>
      <c r="U199" s="127" t="s">
        <v>845</v>
      </c>
      <c r="V199" s="127">
        <v>13567050116</v>
      </c>
      <c r="W199" s="127" t="s">
        <v>879</v>
      </c>
      <c r="X199" s="127" t="s">
        <v>880</v>
      </c>
      <c r="Y199" s="127" t="s">
        <v>881</v>
      </c>
      <c r="Z199" s="127" t="s">
        <v>882</v>
      </c>
      <c r="AA199" s="128">
        <v>23.3</v>
      </c>
      <c r="AB199" s="128">
        <v>9.98</v>
      </c>
      <c r="AC199" s="128">
        <v>9.99</v>
      </c>
      <c r="AD199" s="128"/>
      <c r="AE199" s="127" t="s">
        <v>870</v>
      </c>
      <c r="AF199" s="128"/>
      <c r="AG199" s="128"/>
      <c r="AH199" s="128"/>
      <c r="AI199" s="128"/>
      <c r="AJ199" s="128"/>
      <c r="AK199" s="128"/>
      <c r="AL199" s="128"/>
      <c r="AM199" s="128"/>
    </row>
    <row r="200" customHeight="1" spans="1:39">
      <c r="A200" s="127" t="s">
        <v>39</v>
      </c>
      <c r="B200" s="127" t="s">
        <v>40</v>
      </c>
      <c r="C200" s="127" t="s">
        <v>41</v>
      </c>
      <c r="D200" s="127" t="s">
        <v>312</v>
      </c>
      <c r="E200" s="127"/>
      <c r="F200" s="127" t="s">
        <v>43</v>
      </c>
      <c r="G200" s="127" t="s">
        <v>44</v>
      </c>
      <c r="H200" s="127" t="s">
        <v>45</v>
      </c>
      <c r="I200" s="127">
        <v>7001221</v>
      </c>
      <c r="J200" s="127" t="s">
        <v>46</v>
      </c>
      <c r="K200" s="127">
        <v>13656706121</v>
      </c>
      <c r="L200" s="127" t="s">
        <v>625</v>
      </c>
      <c r="M200" s="127"/>
      <c r="N200" s="127" t="s">
        <v>626</v>
      </c>
      <c r="O200" s="127" t="s">
        <v>627</v>
      </c>
      <c r="P200" s="127" t="s">
        <v>628</v>
      </c>
      <c r="Q200" s="127">
        <v>13511426606</v>
      </c>
      <c r="R200" s="127" t="s">
        <v>843</v>
      </c>
      <c r="S200" s="127" t="s">
        <v>844</v>
      </c>
      <c r="T200" s="127"/>
      <c r="U200" s="127" t="s">
        <v>845</v>
      </c>
      <c r="V200" s="127">
        <v>13567050116</v>
      </c>
      <c r="W200" s="127" t="s">
        <v>879</v>
      </c>
      <c r="X200" s="127" t="s">
        <v>880</v>
      </c>
      <c r="Y200" s="127" t="s">
        <v>883</v>
      </c>
      <c r="Z200" s="127" t="s">
        <v>884</v>
      </c>
      <c r="AA200" s="128">
        <v>182.37</v>
      </c>
      <c r="AB200" s="128">
        <v>4.27</v>
      </c>
      <c r="AC200" s="128">
        <v>4.27</v>
      </c>
      <c r="AD200" s="128"/>
      <c r="AE200" s="127" t="s">
        <v>850</v>
      </c>
      <c r="AF200" s="128"/>
      <c r="AG200" s="128"/>
      <c r="AH200" s="128"/>
      <c r="AI200" s="128"/>
      <c r="AJ200" s="128"/>
      <c r="AK200" s="128"/>
      <c r="AL200" s="128"/>
      <c r="AM200" s="128"/>
    </row>
    <row r="201" customHeight="1" spans="1:39">
      <c r="A201" s="127" t="s">
        <v>39</v>
      </c>
      <c r="B201" s="127" t="s">
        <v>40</v>
      </c>
      <c r="C201" s="127" t="s">
        <v>41</v>
      </c>
      <c r="D201" s="127" t="s">
        <v>312</v>
      </c>
      <c r="E201" s="127"/>
      <c r="F201" s="127" t="s">
        <v>43</v>
      </c>
      <c r="G201" s="127" t="s">
        <v>44</v>
      </c>
      <c r="H201" s="127" t="s">
        <v>45</v>
      </c>
      <c r="I201" s="127">
        <v>7001221</v>
      </c>
      <c r="J201" s="127" t="s">
        <v>46</v>
      </c>
      <c r="K201" s="127">
        <v>13656706121</v>
      </c>
      <c r="L201" s="127" t="s">
        <v>625</v>
      </c>
      <c r="M201" s="127"/>
      <c r="N201" s="127" t="s">
        <v>626</v>
      </c>
      <c r="O201" s="127" t="s">
        <v>627</v>
      </c>
      <c r="P201" s="127" t="s">
        <v>628</v>
      </c>
      <c r="Q201" s="127">
        <v>13511426606</v>
      </c>
      <c r="R201" s="127" t="s">
        <v>843</v>
      </c>
      <c r="S201" s="127" t="s">
        <v>844</v>
      </c>
      <c r="T201" s="127"/>
      <c r="U201" s="127" t="s">
        <v>845</v>
      </c>
      <c r="V201" s="127">
        <v>13567050116</v>
      </c>
      <c r="W201" s="127" t="s">
        <v>885</v>
      </c>
      <c r="X201" s="127" t="s">
        <v>886</v>
      </c>
      <c r="Y201" s="127" t="s">
        <v>887</v>
      </c>
      <c r="Z201" s="127" t="s">
        <v>888</v>
      </c>
      <c r="AA201" s="128">
        <v>141</v>
      </c>
      <c r="AB201" s="128">
        <v>81.34</v>
      </c>
      <c r="AC201" s="128">
        <v>81.12</v>
      </c>
      <c r="AD201" s="128"/>
      <c r="AE201" s="127" t="s">
        <v>867</v>
      </c>
      <c r="AF201" s="128"/>
      <c r="AG201" s="128"/>
      <c r="AH201" s="128"/>
      <c r="AI201" s="128"/>
      <c r="AJ201" s="128"/>
      <c r="AK201" s="128"/>
      <c r="AL201" s="128"/>
      <c r="AM201" s="128"/>
    </row>
    <row r="202" customHeight="1" spans="1:39">
      <c r="A202" s="127" t="s">
        <v>39</v>
      </c>
      <c r="B202" s="127" t="s">
        <v>40</v>
      </c>
      <c r="C202" s="127" t="s">
        <v>41</v>
      </c>
      <c r="D202" s="127" t="s">
        <v>312</v>
      </c>
      <c r="E202" s="127"/>
      <c r="F202" s="127" t="s">
        <v>43</v>
      </c>
      <c r="G202" s="127" t="s">
        <v>44</v>
      </c>
      <c r="H202" s="127" t="s">
        <v>45</v>
      </c>
      <c r="I202" s="127">
        <v>7001221</v>
      </c>
      <c r="J202" s="127" t="s">
        <v>46</v>
      </c>
      <c r="K202" s="127">
        <v>13656706121</v>
      </c>
      <c r="L202" s="127" t="s">
        <v>625</v>
      </c>
      <c r="M202" s="127"/>
      <c r="N202" s="127" t="s">
        <v>626</v>
      </c>
      <c r="O202" s="127" t="s">
        <v>627</v>
      </c>
      <c r="P202" s="127" t="s">
        <v>628</v>
      </c>
      <c r="Q202" s="127">
        <v>13511426606</v>
      </c>
      <c r="R202" s="127" t="s">
        <v>843</v>
      </c>
      <c r="S202" s="127" t="s">
        <v>844</v>
      </c>
      <c r="T202" s="127"/>
      <c r="U202" s="127" t="s">
        <v>845</v>
      </c>
      <c r="V202" s="127">
        <v>13567050116</v>
      </c>
      <c r="W202" s="127" t="s">
        <v>885</v>
      </c>
      <c r="X202" s="127" t="s">
        <v>886</v>
      </c>
      <c r="Y202" s="127" t="s">
        <v>889</v>
      </c>
      <c r="Z202" s="127" t="s">
        <v>890</v>
      </c>
      <c r="AA202" s="128">
        <v>182.37</v>
      </c>
      <c r="AB202" s="128">
        <v>11.28</v>
      </c>
      <c r="AC202" s="128">
        <v>11.29</v>
      </c>
      <c r="AD202" s="128"/>
      <c r="AE202" s="127" t="s">
        <v>850</v>
      </c>
      <c r="AF202" s="128"/>
      <c r="AG202" s="128"/>
      <c r="AH202" s="128"/>
      <c r="AI202" s="128"/>
      <c r="AJ202" s="128"/>
      <c r="AK202" s="128"/>
      <c r="AL202" s="128"/>
      <c r="AM202" s="128"/>
    </row>
    <row r="203" customHeight="1" spans="1:39">
      <c r="A203" s="127" t="s">
        <v>39</v>
      </c>
      <c r="B203" s="127" t="s">
        <v>40</v>
      </c>
      <c r="C203" s="127" t="s">
        <v>41</v>
      </c>
      <c r="D203" s="127" t="s">
        <v>312</v>
      </c>
      <c r="E203" s="127"/>
      <c r="F203" s="127" t="s">
        <v>43</v>
      </c>
      <c r="G203" s="127" t="s">
        <v>44</v>
      </c>
      <c r="H203" s="127" t="s">
        <v>45</v>
      </c>
      <c r="I203" s="127">
        <v>7001221</v>
      </c>
      <c r="J203" s="127" t="s">
        <v>46</v>
      </c>
      <c r="K203" s="127">
        <v>13656706121</v>
      </c>
      <c r="L203" s="127" t="s">
        <v>625</v>
      </c>
      <c r="M203" s="127"/>
      <c r="N203" s="127" t="s">
        <v>626</v>
      </c>
      <c r="O203" s="127" t="s">
        <v>627</v>
      </c>
      <c r="P203" s="127" t="s">
        <v>628</v>
      </c>
      <c r="Q203" s="127">
        <v>13511426606</v>
      </c>
      <c r="R203" s="127" t="s">
        <v>843</v>
      </c>
      <c r="S203" s="127" t="s">
        <v>844</v>
      </c>
      <c r="T203" s="127"/>
      <c r="U203" s="127" t="s">
        <v>845</v>
      </c>
      <c r="V203" s="127">
        <v>13567050116</v>
      </c>
      <c r="W203" s="127" t="s">
        <v>891</v>
      </c>
      <c r="X203" s="127" t="s">
        <v>892</v>
      </c>
      <c r="Y203" s="127" t="s">
        <v>893</v>
      </c>
      <c r="Z203" s="127" t="s">
        <v>894</v>
      </c>
      <c r="AA203" s="128">
        <v>187.6</v>
      </c>
      <c r="AB203" s="128">
        <v>9.26</v>
      </c>
      <c r="AC203" s="128">
        <v>9.26</v>
      </c>
      <c r="AD203" s="128"/>
      <c r="AE203" s="127" t="s">
        <v>858</v>
      </c>
      <c r="AF203" s="128"/>
      <c r="AG203" s="128"/>
      <c r="AH203" s="128"/>
      <c r="AI203" s="128"/>
      <c r="AJ203" s="128"/>
      <c r="AK203" s="128"/>
      <c r="AL203" s="128"/>
      <c r="AM203" s="128"/>
    </row>
    <row r="204" customHeight="1" spans="1:39">
      <c r="A204" s="127" t="s">
        <v>39</v>
      </c>
      <c r="B204" s="127" t="s">
        <v>40</v>
      </c>
      <c r="C204" s="127" t="s">
        <v>41</v>
      </c>
      <c r="D204" s="127" t="s">
        <v>895</v>
      </c>
      <c r="E204" s="127"/>
      <c r="F204" s="127" t="s">
        <v>896</v>
      </c>
      <c r="G204" s="127" t="s">
        <v>44</v>
      </c>
      <c r="H204" s="127" t="s">
        <v>45</v>
      </c>
      <c r="I204" s="127">
        <v>7001221</v>
      </c>
      <c r="J204" s="127" t="s">
        <v>46</v>
      </c>
      <c r="K204" s="127">
        <v>13656706121</v>
      </c>
      <c r="L204" s="127" t="s">
        <v>897</v>
      </c>
      <c r="M204" s="127"/>
      <c r="N204" s="127" t="s">
        <v>898</v>
      </c>
      <c r="O204" s="127">
        <v>7001221</v>
      </c>
      <c r="P204" s="127" t="s">
        <v>46</v>
      </c>
      <c r="Q204" s="127">
        <v>13656706121</v>
      </c>
      <c r="R204" s="127" t="s">
        <v>899</v>
      </c>
      <c r="S204" s="127" t="s">
        <v>900</v>
      </c>
      <c r="T204" s="127"/>
      <c r="U204" s="127" t="s">
        <v>901</v>
      </c>
      <c r="V204" s="127">
        <v>15224008917</v>
      </c>
      <c r="W204" s="127" t="s">
        <v>902</v>
      </c>
      <c r="X204" s="127" t="s">
        <v>903</v>
      </c>
      <c r="Y204" s="127" t="s">
        <v>904</v>
      </c>
      <c r="Z204" s="127" t="s">
        <v>905</v>
      </c>
      <c r="AA204" s="128">
        <v>0.1</v>
      </c>
      <c r="AB204" s="128">
        <v>0.1</v>
      </c>
      <c r="AC204" s="128">
        <v>0.1</v>
      </c>
      <c r="AD204" s="128"/>
      <c r="AE204" s="127" t="s">
        <v>906</v>
      </c>
      <c r="AF204" s="128"/>
      <c r="AG204" s="128"/>
      <c r="AH204" s="128"/>
      <c r="AI204" s="128"/>
      <c r="AJ204" s="128"/>
      <c r="AK204" s="128"/>
      <c r="AL204" s="128"/>
      <c r="AM204" s="128"/>
    </row>
    <row r="205" customHeight="1" spans="1:39">
      <c r="A205" s="127" t="s">
        <v>39</v>
      </c>
      <c r="B205" s="127" t="s">
        <v>40</v>
      </c>
      <c r="C205" s="127" t="s">
        <v>41</v>
      </c>
      <c r="D205" s="127" t="s">
        <v>895</v>
      </c>
      <c r="E205" s="127"/>
      <c r="F205" s="127" t="s">
        <v>896</v>
      </c>
      <c r="G205" s="127" t="s">
        <v>44</v>
      </c>
      <c r="H205" s="127" t="s">
        <v>45</v>
      </c>
      <c r="I205" s="127">
        <v>7001221</v>
      </c>
      <c r="J205" s="127" t="s">
        <v>46</v>
      </c>
      <c r="K205" s="127">
        <v>13656706121</v>
      </c>
      <c r="L205" s="127" t="s">
        <v>897</v>
      </c>
      <c r="M205" s="127"/>
      <c r="N205" s="127" t="s">
        <v>898</v>
      </c>
      <c r="O205" s="127">
        <v>7001221</v>
      </c>
      <c r="P205" s="127" t="s">
        <v>46</v>
      </c>
      <c r="Q205" s="127">
        <v>13656706121</v>
      </c>
      <c r="R205" s="127" t="s">
        <v>899</v>
      </c>
      <c r="S205" s="127" t="s">
        <v>900</v>
      </c>
      <c r="T205" s="127"/>
      <c r="U205" s="127" t="s">
        <v>901</v>
      </c>
      <c r="V205" s="127">
        <v>15224008917</v>
      </c>
      <c r="W205" s="127" t="s">
        <v>902</v>
      </c>
      <c r="X205" s="127" t="s">
        <v>903</v>
      </c>
      <c r="Y205" s="127" t="s">
        <v>907</v>
      </c>
      <c r="Z205" s="127" t="s">
        <v>908</v>
      </c>
      <c r="AA205" s="128">
        <v>0.4</v>
      </c>
      <c r="AB205" s="128">
        <v>0.4</v>
      </c>
      <c r="AC205" s="128">
        <v>0.4</v>
      </c>
      <c r="AD205" s="128"/>
      <c r="AE205" s="127" t="s">
        <v>909</v>
      </c>
      <c r="AF205" s="128"/>
      <c r="AG205" s="128"/>
      <c r="AH205" s="128"/>
      <c r="AI205" s="128"/>
      <c r="AJ205" s="128"/>
      <c r="AK205" s="128"/>
      <c r="AL205" s="128"/>
      <c r="AM205" s="128"/>
    </row>
    <row r="206" customHeight="1" spans="1:39">
      <c r="A206" s="127" t="s">
        <v>39</v>
      </c>
      <c r="B206" s="127" t="s">
        <v>40</v>
      </c>
      <c r="C206" s="127" t="s">
        <v>41</v>
      </c>
      <c r="D206" s="127" t="s">
        <v>895</v>
      </c>
      <c r="E206" s="127"/>
      <c r="F206" s="127" t="s">
        <v>896</v>
      </c>
      <c r="G206" s="127" t="s">
        <v>44</v>
      </c>
      <c r="H206" s="127" t="s">
        <v>45</v>
      </c>
      <c r="I206" s="127">
        <v>7001221</v>
      </c>
      <c r="J206" s="127" t="s">
        <v>46</v>
      </c>
      <c r="K206" s="127">
        <v>13656706121</v>
      </c>
      <c r="L206" s="127" t="s">
        <v>897</v>
      </c>
      <c r="M206" s="127"/>
      <c r="N206" s="127" t="s">
        <v>898</v>
      </c>
      <c r="O206" s="127">
        <v>7001221</v>
      </c>
      <c r="P206" s="127" t="s">
        <v>46</v>
      </c>
      <c r="Q206" s="127">
        <v>13656706121</v>
      </c>
      <c r="R206" s="127" t="s">
        <v>899</v>
      </c>
      <c r="S206" s="127" t="s">
        <v>900</v>
      </c>
      <c r="T206" s="127"/>
      <c r="U206" s="127" t="s">
        <v>901</v>
      </c>
      <c r="V206" s="127">
        <v>15224008917</v>
      </c>
      <c r="W206" s="127" t="s">
        <v>910</v>
      </c>
      <c r="X206" s="127" t="s">
        <v>911</v>
      </c>
      <c r="Y206" s="127" t="s">
        <v>912</v>
      </c>
      <c r="Z206" s="127" t="s">
        <v>913</v>
      </c>
      <c r="AA206" s="128">
        <v>275.292</v>
      </c>
      <c r="AB206" s="128">
        <v>275.29</v>
      </c>
      <c r="AC206" s="128">
        <v>254.17</v>
      </c>
      <c r="AD206" s="128"/>
      <c r="AE206" s="127" t="s">
        <v>914</v>
      </c>
      <c r="AF206" s="128"/>
      <c r="AG206" s="128"/>
      <c r="AH206" s="128"/>
      <c r="AI206" s="128"/>
      <c r="AJ206" s="128"/>
      <c r="AK206" s="128"/>
      <c r="AL206" s="128"/>
      <c r="AM206" s="128"/>
    </row>
    <row r="207" customHeight="1" spans="1:39">
      <c r="A207" s="127" t="s">
        <v>39</v>
      </c>
      <c r="B207" s="127" t="s">
        <v>40</v>
      </c>
      <c r="C207" s="127" t="s">
        <v>41</v>
      </c>
      <c r="D207" s="127" t="s">
        <v>895</v>
      </c>
      <c r="E207" s="127"/>
      <c r="F207" s="127" t="s">
        <v>896</v>
      </c>
      <c r="G207" s="127" t="s">
        <v>44</v>
      </c>
      <c r="H207" s="127" t="s">
        <v>45</v>
      </c>
      <c r="I207" s="127">
        <v>7001221</v>
      </c>
      <c r="J207" s="127" t="s">
        <v>46</v>
      </c>
      <c r="K207" s="127">
        <v>13656706121</v>
      </c>
      <c r="L207" s="127" t="s">
        <v>897</v>
      </c>
      <c r="M207" s="127"/>
      <c r="N207" s="127" t="s">
        <v>898</v>
      </c>
      <c r="O207" s="127">
        <v>7001221</v>
      </c>
      <c r="P207" s="127" t="s">
        <v>46</v>
      </c>
      <c r="Q207" s="127">
        <v>13656706121</v>
      </c>
      <c r="R207" s="127" t="s">
        <v>899</v>
      </c>
      <c r="S207" s="127" t="s">
        <v>900</v>
      </c>
      <c r="T207" s="127"/>
      <c r="U207" s="127" t="s">
        <v>901</v>
      </c>
      <c r="V207" s="127">
        <v>15224008917</v>
      </c>
      <c r="W207" s="127" t="s">
        <v>915</v>
      </c>
      <c r="X207" s="127" t="s">
        <v>916</v>
      </c>
      <c r="Y207" s="127" t="s">
        <v>917</v>
      </c>
      <c r="Z207" s="127" t="s">
        <v>918</v>
      </c>
      <c r="AA207" s="128">
        <v>18.6</v>
      </c>
      <c r="AB207" s="128">
        <v>18.6</v>
      </c>
      <c r="AC207" s="128">
        <v>17.05</v>
      </c>
      <c r="AD207" s="128"/>
      <c r="AE207" s="127" t="s">
        <v>919</v>
      </c>
      <c r="AF207" s="128"/>
      <c r="AG207" s="128"/>
      <c r="AH207" s="128"/>
      <c r="AI207" s="128"/>
      <c r="AJ207" s="128"/>
      <c r="AK207" s="128"/>
      <c r="AL207" s="128"/>
      <c r="AM207" s="128"/>
    </row>
    <row r="208" customHeight="1" spans="1:39">
      <c r="A208" s="127" t="s">
        <v>39</v>
      </c>
      <c r="B208" s="127" t="s">
        <v>40</v>
      </c>
      <c r="C208" s="127" t="s">
        <v>41</v>
      </c>
      <c r="D208" s="127" t="s">
        <v>895</v>
      </c>
      <c r="E208" s="127"/>
      <c r="F208" s="127" t="s">
        <v>896</v>
      </c>
      <c r="G208" s="127" t="s">
        <v>44</v>
      </c>
      <c r="H208" s="127" t="s">
        <v>45</v>
      </c>
      <c r="I208" s="127">
        <v>7001221</v>
      </c>
      <c r="J208" s="127" t="s">
        <v>46</v>
      </c>
      <c r="K208" s="127">
        <v>13656706121</v>
      </c>
      <c r="L208" s="127" t="s">
        <v>897</v>
      </c>
      <c r="M208" s="127"/>
      <c r="N208" s="127" t="s">
        <v>898</v>
      </c>
      <c r="O208" s="127">
        <v>7001221</v>
      </c>
      <c r="P208" s="127" t="s">
        <v>46</v>
      </c>
      <c r="Q208" s="127">
        <v>13656706121</v>
      </c>
      <c r="R208" s="127" t="s">
        <v>920</v>
      </c>
      <c r="S208" s="127" t="s">
        <v>921</v>
      </c>
      <c r="T208" s="127"/>
      <c r="U208" s="127" t="s">
        <v>901</v>
      </c>
      <c r="V208" s="127">
        <v>15224008917</v>
      </c>
      <c r="W208" s="127" t="s">
        <v>922</v>
      </c>
      <c r="X208" s="127" t="s">
        <v>923</v>
      </c>
      <c r="Y208" s="127" t="s">
        <v>924</v>
      </c>
      <c r="Z208" s="127" t="s">
        <v>925</v>
      </c>
      <c r="AA208" s="128">
        <v>77.79</v>
      </c>
      <c r="AB208" s="128">
        <v>76.98</v>
      </c>
      <c r="AC208" s="128">
        <v>55.65</v>
      </c>
      <c r="AD208" s="128"/>
      <c r="AE208" s="127" t="s">
        <v>926</v>
      </c>
      <c r="AF208" s="128"/>
      <c r="AG208" s="128"/>
      <c r="AH208" s="128"/>
      <c r="AI208" s="128"/>
      <c r="AJ208" s="128"/>
      <c r="AK208" s="128"/>
      <c r="AL208" s="128"/>
      <c r="AM208" s="128"/>
    </row>
    <row r="209" customHeight="1" spans="1:39">
      <c r="A209" s="127" t="s">
        <v>39</v>
      </c>
      <c r="B209" s="127" t="s">
        <v>40</v>
      </c>
      <c r="C209" s="127" t="s">
        <v>41</v>
      </c>
      <c r="D209" s="127" t="s">
        <v>895</v>
      </c>
      <c r="E209" s="127"/>
      <c r="F209" s="127" t="s">
        <v>896</v>
      </c>
      <c r="G209" s="127" t="s">
        <v>44</v>
      </c>
      <c r="H209" s="127" t="s">
        <v>45</v>
      </c>
      <c r="I209" s="127">
        <v>7001221</v>
      </c>
      <c r="J209" s="127" t="s">
        <v>46</v>
      </c>
      <c r="K209" s="127">
        <v>13656706121</v>
      </c>
      <c r="L209" s="127" t="s">
        <v>897</v>
      </c>
      <c r="M209" s="127"/>
      <c r="N209" s="127" t="s">
        <v>898</v>
      </c>
      <c r="O209" s="127">
        <v>7001221</v>
      </c>
      <c r="P209" s="127" t="s">
        <v>46</v>
      </c>
      <c r="Q209" s="127">
        <v>13656706121</v>
      </c>
      <c r="R209" s="127" t="s">
        <v>927</v>
      </c>
      <c r="S209" s="127" t="s">
        <v>928</v>
      </c>
      <c r="T209" s="127"/>
      <c r="U209" s="127" t="s">
        <v>901</v>
      </c>
      <c r="V209" s="127">
        <v>15224008917</v>
      </c>
      <c r="W209" s="127" t="s">
        <v>929</v>
      </c>
      <c r="X209" s="127" t="s">
        <v>903</v>
      </c>
      <c r="Y209" s="127" t="s">
        <v>930</v>
      </c>
      <c r="Z209" s="127" t="s">
        <v>931</v>
      </c>
      <c r="AA209" s="128">
        <v>84</v>
      </c>
      <c r="AB209" s="128">
        <v>88.04</v>
      </c>
      <c r="AC209" s="128">
        <v>77.6</v>
      </c>
      <c r="AD209" s="128"/>
      <c r="AE209" s="127" t="s">
        <v>932</v>
      </c>
      <c r="AF209" s="128"/>
      <c r="AG209" s="128"/>
      <c r="AH209" s="128"/>
      <c r="AI209" s="128"/>
      <c r="AJ209" s="128"/>
      <c r="AK209" s="128"/>
      <c r="AL209" s="128"/>
      <c r="AM209" s="128"/>
    </row>
    <row r="210" customHeight="1" spans="1:39">
      <c r="A210" s="129" t="s">
        <v>933</v>
      </c>
      <c r="B210" s="129" t="s">
        <v>934</v>
      </c>
      <c r="C210" s="129" t="s">
        <v>935</v>
      </c>
      <c r="D210" s="129" t="s">
        <v>936</v>
      </c>
      <c r="E210" s="129"/>
      <c r="F210" s="129" t="s">
        <v>937</v>
      </c>
      <c r="G210" s="129" t="s">
        <v>938</v>
      </c>
      <c r="H210" s="129" t="s">
        <v>939</v>
      </c>
      <c r="I210" s="129">
        <v>7003375</v>
      </c>
      <c r="J210" s="129" t="s">
        <v>940</v>
      </c>
      <c r="K210" s="129">
        <v>18877678777</v>
      </c>
      <c r="L210" s="129" t="s">
        <v>941</v>
      </c>
      <c r="M210" s="129"/>
      <c r="N210" s="129" t="s">
        <v>942</v>
      </c>
      <c r="O210" s="129"/>
      <c r="P210" s="129" t="s">
        <v>943</v>
      </c>
      <c r="Q210" s="129">
        <v>17396789716</v>
      </c>
      <c r="R210" s="129" t="s">
        <v>944</v>
      </c>
      <c r="S210" s="129" t="s">
        <v>945</v>
      </c>
      <c r="T210" s="129"/>
      <c r="U210" s="129" t="s">
        <v>946</v>
      </c>
      <c r="V210" s="129">
        <v>19177675756</v>
      </c>
      <c r="W210" s="129" t="s">
        <v>947</v>
      </c>
      <c r="X210" s="129" t="s">
        <v>948</v>
      </c>
      <c r="Y210" s="129" t="s">
        <v>949</v>
      </c>
      <c r="Z210" s="129" t="s">
        <v>950</v>
      </c>
      <c r="AA210" s="128">
        <v>637</v>
      </c>
      <c r="AB210" s="128">
        <v>207.79</v>
      </c>
      <c r="AC210" s="128">
        <v>200.45</v>
      </c>
      <c r="AD210" s="128"/>
      <c r="AE210" s="129" t="s">
        <v>951</v>
      </c>
      <c r="AF210" s="128"/>
      <c r="AG210" s="128"/>
      <c r="AH210" s="128"/>
      <c r="AI210" s="128"/>
      <c r="AJ210" s="128"/>
      <c r="AK210" s="128"/>
      <c r="AL210" s="128"/>
      <c r="AM210" s="128"/>
    </row>
    <row r="211" customHeight="1" spans="1:39">
      <c r="A211" s="129" t="s">
        <v>933</v>
      </c>
      <c r="B211" s="129" t="s">
        <v>934</v>
      </c>
      <c r="C211" s="129" t="s">
        <v>935</v>
      </c>
      <c r="D211" s="129" t="s">
        <v>936</v>
      </c>
      <c r="E211" s="129"/>
      <c r="F211" s="129" t="s">
        <v>937</v>
      </c>
      <c r="G211" s="129" t="s">
        <v>938</v>
      </c>
      <c r="H211" s="129" t="s">
        <v>939</v>
      </c>
      <c r="I211" s="129">
        <v>7003375</v>
      </c>
      <c r="J211" s="129" t="s">
        <v>940</v>
      </c>
      <c r="K211" s="129">
        <v>18877678777</v>
      </c>
      <c r="L211" s="129" t="s">
        <v>941</v>
      </c>
      <c r="M211" s="129"/>
      <c r="N211" s="129" t="s">
        <v>942</v>
      </c>
      <c r="O211" s="129"/>
      <c r="P211" s="129" t="s">
        <v>943</v>
      </c>
      <c r="Q211" s="129">
        <v>17396789716</v>
      </c>
      <c r="R211" s="129" t="s">
        <v>944</v>
      </c>
      <c r="S211" s="129" t="s">
        <v>945</v>
      </c>
      <c r="T211" s="129"/>
      <c r="U211" s="129" t="s">
        <v>946</v>
      </c>
      <c r="V211" s="129">
        <v>19177675756</v>
      </c>
      <c r="W211" s="129" t="s">
        <v>952</v>
      </c>
      <c r="X211" s="129" t="s">
        <v>953</v>
      </c>
      <c r="Y211" s="129" t="s">
        <v>954</v>
      </c>
      <c r="Z211" s="129" t="s">
        <v>955</v>
      </c>
      <c r="AA211" s="128">
        <v>637</v>
      </c>
      <c r="AB211" s="128">
        <v>11.43</v>
      </c>
      <c r="AC211" s="128">
        <v>10.41</v>
      </c>
      <c r="AD211" s="128"/>
      <c r="AE211" s="129" t="s">
        <v>951</v>
      </c>
      <c r="AF211" s="128"/>
      <c r="AG211" s="128"/>
      <c r="AH211" s="128"/>
      <c r="AI211" s="128"/>
      <c r="AJ211" s="128"/>
      <c r="AK211" s="128"/>
      <c r="AL211" s="128"/>
      <c r="AM211" s="128"/>
    </row>
    <row r="212" customHeight="1" spans="1:39">
      <c r="A212" s="129" t="s">
        <v>933</v>
      </c>
      <c r="B212" s="129" t="s">
        <v>934</v>
      </c>
      <c r="C212" s="129" t="s">
        <v>935</v>
      </c>
      <c r="D212" s="129" t="s">
        <v>936</v>
      </c>
      <c r="E212" s="129"/>
      <c r="F212" s="129" t="s">
        <v>937</v>
      </c>
      <c r="G212" s="129" t="s">
        <v>938</v>
      </c>
      <c r="H212" s="129" t="s">
        <v>939</v>
      </c>
      <c r="I212" s="129">
        <v>7003375</v>
      </c>
      <c r="J212" s="129" t="s">
        <v>940</v>
      </c>
      <c r="K212" s="129">
        <v>18877678777</v>
      </c>
      <c r="L212" s="129" t="s">
        <v>941</v>
      </c>
      <c r="M212" s="129"/>
      <c r="N212" s="129" t="s">
        <v>942</v>
      </c>
      <c r="O212" s="129"/>
      <c r="P212" s="129" t="s">
        <v>943</v>
      </c>
      <c r="Q212" s="129">
        <v>17396789716</v>
      </c>
      <c r="R212" s="129" t="s">
        <v>944</v>
      </c>
      <c r="S212" s="129" t="s">
        <v>945</v>
      </c>
      <c r="T212" s="129"/>
      <c r="U212" s="129" t="s">
        <v>946</v>
      </c>
      <c r="V212" s="129">
        <v>19177675756</v>
      </c>
      <c r="W212" s="129" t="s">
        <v>956</v>
      </c>
      <c r="X212" s="129" t="s">
        <v>957</v>
      </c>
      <c r="Y212" s="129" t="s">
        <v>958</v>
      </c>
      <c r="Z212" s="129" t="s">
        <v>959</v>
      </c>
      <c r="AA212" s="128">
        <v>637</v>
      </c>
      <c r="AB212" s="128">
        <v>24</v>
      </c>
      <c r="AC212" s="128">
        <v>22.03</v>
      </c>
      <c r="AD212" s="128"/>
      <c r="AE212" s="129" t="s">
        <v>951</v>
      </c>
      <c r="AF212" s="128"/>
      <c r="AG212" s="128"/>
      <c r="AH212" s="128"/>
      <c r="AI212" s="128"/>
      <c r="AJ212" s="128"/>
      <c r="AK212" s="128"/>
      <c r="AL212" s="128"/>
      <c r="AM212" s="128"/>
    </row>
    <row r="213" customHeight="1" spans="1:39">
      <c r="A213" s="129" t="s">
        <v>933</v>
      </c>
      <c r="B213" s="129" t="s">
        <v>934</v>
      </c>
      <c r="C213" s="129" t="s">
        <v>935</v>
      </c>
      <c r="D213" s="129" t="s">
        <v>936</v>
      </c>
      <c r="E213" s="129"/>
      <c r="F213" s="129" t="s">
        <v>937</v>
      </c>
      <c r="G213" s="129" t="s">
        <v>938</v>
      </c>
      <c r="H213" s="129" t="s">
        <v>939</v>
      </c>
      <c r="I213" s="129">
        <v>7003375</v>
      </c>
      <c r="J213" s="129" t="s">
        <v>940</v>
      </c>
      <c r="K213" s="129">
        <v>18877678777</v>
      </c>
      <c r="L213" s="129" t="s">
        <v>941</v>
      </c>
      <c r="M213" s="129"/>
      <c r="N213" s="129" t="s">
        <v>942</v>
      </c>
      <c r="O213" s="129"/>
      <c r="P213" s="129" t="s">
        <v>943</v>
      </c>
      <c r="Q213" s="129">
        <v>17396789716</v>
      </c>
      <c r="R213" s="129" t="s">
        <v>944</v>
      </c>
      <c r="S213" s="129" t="s">
        <v>945</v>
      </c>
      <c r="T213" s="129"/>
      <c r="U213" s="129" t="s">
        <v>946</v>
      </c>
      <c r="V213" s="129">
        <v>19177675756</v>
      </c>
      <c r="W213" s="129" t="s">
        <v>960</v>
      </c>
      <c r="X213" s="129" t="s">
        <v>961</v>
      </c>
      <c r="Y213" s="129" t="s">
        <v>962</v>
      </c>
      <c r="Z213" s="129" t="s">
        <v>963</v>
      </c>
      <c r="AA213" s="128">
        <v>637</v>
      </c>
      <c r="AB213" s="128">
        <v>54.65</v>
      </c>
      <c r="AC213" s="128">
        <v>53.23</v>
      </c>
      <c r="AD213" s="128"/>
      <c r="AE213" s="129" t="s">
        <v>951</v>
      </c>
      <c r="AF213" s="128"/>
      <c r="AG213" s="128"/>
      <c r="AH213" s="128"/>
      <c r="AI213" s="128"/>
      <c r="AJ213" s="128"/>
      <c r="AK213" s="128"/>
      <c r="AL213" s="128"/>
      <c r="AM213" s="128"/>
    </row>
    <row r="214" customHeight="1" spans="1:39">
      <c r="A214" s="129" t="s">
        <v>933</v>
      </c>
      <c r="B214" s="129" t="s">
        <v>934</v>
      </c>
      <c r="C214" s="129" t="s">
        <v>935</v>
      </c>
      <c r="D214" s="129" t="s">
        <v>936</v>
      </c>
      <c r="E214" s="129"/>
      <c r="F214" s="129" t="s">
        <v>937</v>
      </c>
      <c r="G214" s="129" t="s">
        <v>938</v>
      </c>
      <c r="H214" s="129" t="s">
        <v>939</v>
      </c>
      <c r="I214" s="129">
        <v>7003375</v>
      </c>
      <c r="J214" s="129" t="s">
        <v>940</v>
      </c>
      <c r="K214" s="129">
        <v>18877678777</v>
      </c>
      <c r="L214" s="129" t="s">
        <v>941</v>
      </c>
      <c r="M214" s="129"/>
      <c r="N214" s="129" t="s">
        <v>942</v>
      </c>
      <c r="O214" s="129"/>
      <c r="P214" s="129" t="s">
        <v>943</v>
      </c>
      <c r="Q214" s="129">
        <v>17396789716</v>
      </c>
      <c r="R214" s="129" t="s">
        <v>944</v>
      </c>
      <c r="S214" s="129" t="s">
        <v>945</v>
      </c>
      <c r="T214" s="129"/>
      <c r="U214" s="129" t="s">
        <v>946</v>
      </c>
      <c r="V214" s="129">
        <v>19177675756</v>
      </c>
      <c r="W214" s="129" t="s">
        <v>964</v>
      </c>
      <c r="X214" s="129" t="s">
        <v>965</v>
      </c>
      <c r="Y214" s="129" t="s">
        <v>966</v>
      </c>
      <c r="Z214" s="129" t="s">
        <v>967</v>
      </c>
      <c r="AA214" s="128">
        <v>637</v>
      </c>
      <c r="AB214" s="128">
        <v>33.8</v>
      </c>
      <c r="AC214" s="128">
        <v>32.52</v>
      </c>
      <c r="AD214" s="128"/>
      <c r="AE214" s="129" t="s">
        <v>951</v>
      </c>
      <c r="AF214" s="128"/>
      <c r="AG214" s="128"/>
      <c r="AH214" s="128"/>
      <c r="AI214" s="128"/>
      <c r="AJ214" s="128"/>
      <c r="AK214" s="128"/>
      <c r="AL214" s="128"/>
      <c r="AM214" s="128"/>
    </row>
    <row r="215" customHeight="1" spans="1:39">
      <c r="A215" s="129" t="s">
        <v>933</v>
      </c>
      <c r="B215" s="129" t="s">
        <v>934</v>
      </c>
      <c r="C215" s="129" t="s">
        <v>935</v>
      </c>
      <c r="D215" s="129" t="s">
        <v>936</v>
      </c>
      <c r="E215" s="129"/>
      <c r="F215" s="129" t="s">
        <v>937</v>
      </c>
      <c r="G215" s="129" t="s">
        <v>938</v>
      </c>
      <c r="H215" s="129" t="s">
        <v>939</v>
      </c>
      <c r="I215" s="129">
        <v>7003375</v>
      </c>
      <c r="J215" s="129" t="s">
        <v>940</v>
      </c>
      <c r="K215" s="129">
        <v>18877678777</v>
      </c>
      <c r="L215" s="129" t="s">
        <v>941</v>
      </c>
      <c r="M215" s="129"/>
      <c r="N215" s="129" t="s">
        <v>942</v>
      </c>
      <c r="O215" s="129"/>
      <c r="P215" s="129" t="s">
        <v>943</v>
      </c>
      <c r="Q215" s="129">
        <v>17396789716</v>
      </c>
      <c r="R215" s="129" t="s">
        <v>944</v>
      </c>
      <c r="S215" s="129" t="s">
        <v>945</v>
      </c>
      <c r="T215" s="129"/>
      <c r="U215" s="129" t="s">
        <v>946</v>
      </c>
      <c r="V215" s="129">
        <v>19177675756</v>
      </c>
      <c r="W215" s="129" t="s">
        <v>968</v>
      </c>
      <c r="X215" s="129" t="s">
        <v>969</v>
      </c>
      <c r="Y215" s="129" t="s">
        <v>970</v>
      </c>
      <c r="Z215" s="129" t="s">
        <v>971</v>
      </c>
      <c r="AA215" s="128">
        <v>637</v>
      </c>
      <c r="AB215" s="128">
        <v>200.85</v>
      </c>
      <c r="AC215" s="128">
        <v>191.52</v>
      </c>
      <c r="AD215" s="128"/>
      <c r="AE215" s="129" t="s">
        <v>951</v>
      </c>
      <c r="AF215" s="128"/>
      <c r="AG215" s="128"/>
      <c r="AH215" s="128"/>
      <c r="AI215" s="128"/>
      <c r="AJ215" s="128"/>
      <c r="AK215" s="128"/>
      <c r="AL215" s="128"/>
      <c r="AM215" s="128"/>
    </row>
    <row r="216" customHeight="1" spans="1:39">
      <c r="A216" s="129" t="s">
        <v>933</v>
      </c>
      <c r="B216" s="129" t="s">
        <v>934</v>
      </c>
      <c r="C216" s="129" t="s">
        <v>935</v>
      </c>
      <c r="D216" s="129" t="s">
        <v>936</v>
      </c>
      <c r="E216" s="129"/>
      <c r="F216" s="129" t="s">
        <v>937</v>
      </c>
      <c r="G216" s="129" t="s">
        <v>938</v>
      </c>
      <c r="H216" s="129" t="s">
        <v>939</v>
      </c>
      <c r="I216" s="129">
        <v>7003375</v>
      </c>
      <c r="J216" s="129" t="s">
        <v>940</v>
      </c>
      <c r="K216" s="129">
        <v>18877678777</v>
      </c>
      <c r="L216" s="129" t="s">
        <v>941</v>
      </c>
      <c r="M216" s="129"/>
      <c r="N216" s="129" t="s">
        <v>942</v>
      </c>
      <c r="O216" s="129"/>
      <c r="P216" s="129" t="s">
        <v>943</v>
      </c>
      <c r="Q216" s="129">
        <v>17396789716</v>
      </c>
      <c r="R216" s="129" t="s">
        <v>944</v>
      </c>
      <c r="S216" s="129" t="s">
        <v>945</v>
      </c>
      <c r="T216" s="129"/>
      <c r="U216" s="129" t="s">
        <v>946</v>
      </c>
      <c r="V216" s="129">
        <v>19177675756</v>
      </c>
      <c r="W216" s="129" t="s">
        <v>972</v>
      </c>
      <c r="X216" s="129" t="s">
        <v>973</v>
      </c>
      <c r="Y216" s="129" t="s">
        <v>974</v>
      </c>
      <c r="Z216" s="129" t="s">
        <v>975</v>
      </c>
      <c r="AA216" s="128">
        <v>637</v>
      </c>
      <c r="AB216" s="128">
        <v>13.32</v>
      </c>
      <c r="AC216" s="128">
        <v>13.18</v>
      </c>
      <c r="AD216" s="128"/>
      <c r="AE216" s="129" t="s">
        <v>951</v>
      </c>
      <c r="AF216" s="128"/>
      <c r="AG216" s="128"/>
      <c r="AH216" s="128"/>
      <c r="AI216" s="128"/>
      <c r="AJ216" s="128"/>
      <c r="AK216" s="128"/>
      <c r="AL216" s="128"/>
      <c r="AM216" s="128"/>
    </row>
    <row r="217" customHeight="1" spans="1:39">
      <c r="A217" s="129" t="s">
        <v>933</v>
      </c>
      <c r="B217" s="129" t="s">
        <v>934</v>
      </c>
      <c r="C217" s="129" t="s">
        <v>935</v>
      </c>
      <c r="D217" s="129" t="s">
        <v>936</v>
      </c>
      <c r="E217" s="129"/>
      <c r="F217" s="129" t="s">
        <v>937</v>
      </c>
      <c r="G217" s="129" t="s">
        <v>938</v>
      </c>
      <c r="H217" s="129" t="s">
        <v>939</v>
      </c>
      <c r="I217" s="129">
        <v>7003375</v>
      </c>
      <c r="J217" s="129" t="s">
        <v>940</v>
      </c>
      <c r="K217" s="129">
        <v>18877678777</v>
      </c>
      <c r="L217" s="129" t="s">
        <v>941</v>
      </c>
      <c r="M217" s="129"/>
      <c r="N217" s="129" t="s">
        <v>942</v>
      </c>
      <c r="O217" s="129"/>
      <c r="P217" s="129" t="s">
        <v>943</v>
      </c>
      <c r="Q217" s="129">
        <v>17396789716</v>
      </c>
      <c r="R217" s="129" t="s">
        <v>944</v>
      </c>
      <c r="S217" s="129" t="s">
        <v>945</v>
      </c>
      <c r="T217" s="129"/>
      <c r="U217" s="129" t="s">
        <v>946</v>
      </c>
      <c r="V217" s="129">
        <v>19177675756</v>
      </c>
      <c r="W217" s="129" t="s">
        <v>976</v>
      </c>
      <c r="X217" s="129" t="s">
        <v>977</v>
      </c>
      <c r="Y217" s="129" t="s">
        <v>978</v>
      </c>
      <c r="Z217" s="129" t="s">
        <v>979</v>
      </c>
      <c r="AA217" s="128">
        <v>637</v>
      </c>
      <c r="AB217" s="128">
        <v>66.69</v>
      </c>
      <c r="AC217" s="128">
        <v>65.4</v>
      </c>
      <c r="AD217" s="128"/>
      <c r="AE217" s="129" t="s">
        <v>951</v>
      </c>
      <c r="AF217" s="128"/>
      <c r="AG217" s="128"/>
      <c r="AH217" s="128"/>
      <c r="AI217" s="128"/>
      <c r="AJ217" s="128"/>
      <c r="AK217" s="128"/>
      <c r="AL217" s="128"/>
      <c r="AM217" s="128"/>
    </row>
    <row r="218" customHeight="1" spans="1:39">
      <c r="A218" s="129" t="s">
        <v>933</v>
      </c>
      <c r="B218" s="129" t="s">
        <v>934</v>
      </c>
      <c r="C218" s="129" t="s">
        <v>935</v>
      </c>
      <c r="D218" s="129" t="s">
        <v>936</v>
      </c>
      <c r="E218" s="129"/>
      <c r="F218" s="129" t="s">
        <v>937</v>
      </c>
      <c r="G218" s="129" t="s">
        <v>938</v>
      </c>
      <c r="H218" s="129" t="s">
        <v>939</v>
      </c>
      <c r="I218" s="129">
        <v>7003375</v>
      </c>
      <c r="J218" s="129" t="s">
        <v>940</v>
      </c>
      <c r="K218" s="129">
        <v>18877678777</v>
      </c>
      <c r="L218" s="129" t="s">
        <v>941</v>
      </c>
      <c r="M218" s="129"/>
      <c r="N218" s="129" t="s">
        <v>942</v>
      </c>
      <c r="O218" s="129"/>
      <c r="P218" s="129" t="s">
        <v>943</v>
      </c>
      <c r="Q218" s="129">
        <v>17396789716</v>
      </c>
      <c r="R218" s="129" t="s">
        <v>944</v>
      </c>
      <c r="S218" s="129" t="s">
        <v>945</v>
      </c>
      <c r="T218" s="129"/>
      <c r="U218" s="129" t="s">
        <v>946</v>
      </c>
      <c r="V218" s="129">
        <v>19177675756</v>
      </c>
      <c r="W218" s="129" t="s">
        <v>980</v>
      </c>
      <c r="X218" s="129" t="s">
        <v>981</v>
      </c>
      <c r="Y218" s="129" t="s">
        <v>982</v>
      </c>
      <c r="Z218" s="129" t="s">
        <v>983</v>
      </c>
      <c r="AA218" s="128">
        <v>637</v>
      </c>
      <c r="AB218" s="128">
        <v>20.5</v>
      </c>
      <c r="AC218" s="128">
        <v>20.35</v>
      </c>
      <c r="AD218" s="128"/>
      <c r="AE218" s="129" t="s">
        <v>951</v>
      </c>
      <c r="AF218" s="128"/>
      <c r="AG218" s="128"/>
      <c r="AH218" s="128"/>
      <c r="AI218" s="128"/>
      <c r="AJ218" s="128"/>
      <c r="AK218" s="128"/>
      <c r="AL218" s="128"/>
      <c r="AM218" s="128"/>
    </row>
    <row r="219" customHeight="1" spans="1:39">
      <c r="A219" s="129" t="s">
        <v>933</v>
      </c>
      <c r="B219" s="129" t="s">
        <v>934</v>
      </c>
      <c r="C219" s="129" t="s">
        <v>984</v>
      </c>
      <c r="D219" s="129" t="s">
        <v>985</v>
      </c>
      <c r="E219" s="129"/>
      <c r="F219" s="129" t="s">
        <v>937</v>
      </c>
      <c r="G219" s="129" t="s">
        <v>938</v>
      </c>
      <c r="H219" s="129" t="s">
        <v>939</v>
      </c>
      <c r="I219" s="129">
        <v>7003375</v>
      </c>
      <c r="J219" s="129" t="s">
        <v>940</v>
      </c>
      <c r="K219" s="129">
        <v>18877678777</v>
      </c>
      <c r="L219" s="129" t="s">
        <v>986</v>
      </c>
      <c r="M219" s="129"/>
      <c r="N219" s="129" t="s">
        <v>987</v>
      </c>
      <c r="O219" s="129"/>
      <c r="P219" s="129"/>
      <c r="Q219" s="129"/>
      <c r="R219" s="129" t="s">
        <v>988</v>
      </c>
      <c r="S219" s="129" t="s">
        <v>989</v>
      </c>
      <c r="T219" s="129"/>
      <c r="U219" s="129"/>
      <c r="V219" s="129"/>
      <c r="W219" s="129" t="s">
        <v>990</v>
      </c>
      <c r="X219" s="129" t="s">
        <v>991</v>
      </c>
      <c r="Y219" s="129" t="s">
        <v>992</v>
      </c>
      <c r="Z219" s="129" t="s">
        <v>993</v>
      </c>
      <c r="AA219" s="128">
        <v>882</v>
      </c>
      <c r="AB219" s="128">
        <v>882.05</v>
      </c>
      <c r="AC219" s="128">
        <v>835.85</v>
      </c>
      <c r="AD219" s="128"/>
      <c r="AE219" s="129" t="s">
        <v>994</v>
      </c>
      <c r="AF219" s="128"/>
      <c r="AG219" s="128"/>
      <c r="AH219" s="128"/>
      <c r="AI219" s="128"/>
      <c r="AJ219" s="128"/>
      <c r="AK219" s="128"/>
      <c r="AL219" s="128"/>
      <c r="AM219" s="128"/>
    </row>
    <row r="220" customHeight="1" spans="1:39">
      <c r="A220" s="130" t="s">
        <v>995</v>
      </c>
      <c r="B220" s="130" t="s">
        <v>996</v>
      </c>
      <c r="C220" s="130" t="s">
        <v>997</v>
      </c>
      <c r="D220" s="130" t="s">
        <v>998</v>
      </c>
      <c r="E220" s="130"/>
      <c r="F220" s="130" t="s">
        <v>999</v>
      </c>
      <c r="G220" s="130" t="s">
        <v>1000</v>
      </c>
      <c r="H220" s="130" t="s">
        <v>1001</v>
      </c>
      <c r="I220" s="130">
        <v>7001599</v>
      </c>
      <c r="J220" s="130" t="s">
        <v>1002</v>
      </c>
      <c r="K220" s="130">
        <v>17780922623</v>
      </c>
      <c r="L220" s="130" t="s">
        <v>1003</v>
      </c>
      <c r="M220" s="130" t="s">
        <v>1004</v>
      </c>
      <c r="N220" s="130" t="s">
        <v>1005</v>
      </c>
      <c r="O220" s="130"/>
      <c r="P220" s="130" t="s">
        <v>1006</v>
      </c>
      <c r="Q220" s="130">
        <v>19522211828</v>
      </c>
      <c r="R220" s="130" t="s">
        <v>1007</v>
      </c>
      <c r="S220" s="130" t="s">
        <v>1008</v>
      </c>
      <c r="T220" s="130">
        <v>7003736</v>
      </c>
      <c r="U220" s="130" t="s">
        <v>1006</v>
      </c>
      <c r="V220" s="130">
        <v>13330626680</v>
      </c>
      <c r="W220" s="130" t="s">
        <v>1009</v>
      </c>
      <c r="X220" s="130" t="s">
        <v>1010</v>
      </c>
      <c r="Y220" s="130" t="s">
        <v>1011</v>
      </c>
      <c r="Z220" s="130" t="s">
        <v>1012</v>
      </c>
      <c r="AA220" s="128">
        <v>332.97</v>
      </c>
      <c r="AB220" s="128">
        <v>299.09</v>
      </c>
      <c r="AC220" s="128">
        <v>276.67</v>
      </c>
      <c r="AD220" s="128"/>
      <c r="AF220" s="130" t="s">
        <v>1013</v>
      </c>
      <c r="AG220" s="128"/>
      <c r="AH220" s="128"/>
      <c r="AI220" s="128"/>
      <c r="AJ220" s="128"/>
      <c r="AK220" s="128"/>
      <c r="AL220" s="128"/>
      <c r="AM220" s="128"/>
    </row>
    <row r="221" customHeight="1" spans="1:39">
      <c r="A221" s="130" t="s">
        <v>995</v>
      </c>
      <c r="B221" s="130" t="s">
        <v>996</v>
      </c>
      <c r="C221" s="130" t="s">
        <v>997</v>
      </c>
      <c r="D221" s="130" t="s">
        <v>998</v>
      </c>
      <c r="E221" s="130"/>
      <c r="F221" s="130" t="s">
        <v>999</v>
      </c>
      <c r="G221" s="130" t="s">
        <v>1000</v>
      </c>
      <c r="H221" s="130" t="s">
        <v>1001</v>
      </c>
      <c r="I221" s="130">
        <v>7001599</v>
      </c>
      <c r="J221" s="130" t="s">
        <v>1002</v>
      </c>
      <c r="K221" s="130">
        <v>17780922623</v>
      </c>
      <c r="L221" s="130" t="s">
        <v>1003</v>
      </c>
      <c r="M221" s="130" t="s">
        <v>1004</v>
      </c>
      <c r="N221" s="130" t="s">
        <v>1005</v>
      </c>
      <c r="O221" s="130"/>
      <c r="P221" s="130" t="s">
        <v>1006</v>
      </c>
      <c r="Q221" s="130">
        <v>19522211828</v>
      </c>
      <c r="R221" s="130" t="s">
        <v>1007</v>
      </c>
      <c r="S221" s="130" t="s">
        <v>1008</v>
      </c>
      <c r="T221" s="130">
        <v>7003736</v>
      </c>
      <c r="U221" s="130" t="s">
        <v>1006</v>
      </c>
      <c r="V221" s="130">
        <v>13330626680</v>
      </c>
      <c r="W221" s="130" t="s">
        <v>1014</v>
      </c>
      <c r="X221" s="130" t="s">
        <v>1015</v>
      </c>
      <c r="Y221" s="130" t="s">
        <v>1016</v>
      </c>
      <c r="Z221" s="130" t="s">
        <v>1017</v>
      </c>
      <c r="AA221" s="128">
        <v>97.94</v>
      </c>
      <c r="AB221" s="128">
        <v>112.61</v>
      </c>
      <c r="AC221" s="128">
        <v>111.85</v>
      </c>
      <c r="AD221" s="128"/>
      <c r="AF221" s="130" t="s">
        <v>1018</v>
      </c>
      <c r="AG221" s="128"/>
      <c r="AH221" s="128"/>
      <c r="AI221" s="128"/>
      <c r="AJ221" s="128"/>
      <c r="AK221" s="128"/>
      <c r="AL221" s="128"/>
      <c r="AM221" s="128"/>
    </row>
    <row r="222" customHeight="1" spans="1:39">
      <c r="A222" s="130" t="s">
        <v>995</v>
      </c>
      <c r="B222" s="130" t="s">
        <v>996</v>
      </c>
      <c r="C222" s="130" t="s">
        <v>997</v>
      </c>
      <c r="D222" s="130" t="s">
        <v>998</v>
      </c>
      <c r="E222" s="130"/>
      <c r="F222" s="130" t="s">
        <v>999</v>
      </c>
      <c r="G222" s="130" t="s">
        <v>1000</v>
      </c>
      <c r="H222" s="130" t="s">
        <v>1001</v>
      </c>
      <c r="I222" s="130">
        <v>7001599</v>
      </c>
      <c r="J222" s="130" t="s">
        <v>1002</v>
      </c>
      <c r="K222" s="130">
        <v>17780922623</v>
      </c>
      <c r="L222" s="130" t="s">
        <v>1003</v>
      </c>
      <c r="M222" s="130" t="s">
        <v>1004</v>
      </c>
      <c r="N222" s="130" t="s">
        <v>1005</v>
      </c>
      <c r="O222" s="130"/>
      <c r="P222" s="130" t="s">
        <v>1006</v>
      </c>
      <c r="Q222" s="130">
        <v>19522211828</v>
      </c>
      <c r="R222" s="130" t="s">
        <v>1007</v>
      </c>
      <c r="S222" s="130" t="s">
        <v>1008</v>
      </c>
      <c r="T222" s="130">
        <v>7003736</v>
      </c>
      <c r="U222" s="130" t="s">
        <v>1006</v>
      </c>
      <c r="V222" s="130">
        <v>13330626680</v>
      </c>
      <c r="W222" s="130" t="s">
        <v>1014</v>
      </c>
      <c r="X222" s="130" t="s">
        <v>1015</v>
      </c>
      <c r="Y222" s="130" t="s">
        <v>1019</v>
      </c>
      <c r="Z222" s="130" t="s">
        <v>1020</v>
      </c>
      <c r="AA222" s="128"/>
      <c r="AB222" s="128">
        <v>35.75</v>
      </c>
      <c r="AC222" s="128">
        <v>29.4</v>
      </c>
      <c r="AD222" s="128"/>
      <c r="AF222" s="130" t="s">
        <v>1021</v>
      </c>
      <c r="AG222" s="128"/>
      <c r="AH222" s="128"/>
      <c r="AI222" s="128"/>
      <c r="AJ222" s="128"/>
      <c r="AK222" s="128"/>
      <c r="AL222" s="128"/>
      <c r="AM222" s="128"/>
    </row>
    <row r="223" customHeight="1" spans="1:39">
      <c r="A223" s="130" t="s">
        <v>995</v>
      </c>
      <c r="B223" s="130" t="s">
        <v>996</v>
      </c>
      <c r="C223" s="130" t="s">
        <v>997</v>
      </c>
      <c r="D223" s="130" t="s">
        <v>998</v>
      </c>
      <c r="E223" s="130"/>
      <c r="F223" s="130" t="s">
        <v>999</v>
      </c>
      <c r="G223" s="130" t="s">
        <v>1000</v>
      </c>
      <c r="H223" s="130" t="s">
        <v>1001</v>
      </c>
      <c r="I223" s="130">
        <v>7001599</v>
      </c>
      <c r="J223" s="130" t="s">
        <v>1002</v>
      </c>
      <c r="K223" s="130">
        <v>17780922623</v>
      </c>
      <c r="L223" s="130" t="s">
        <v>1003</v>
      </c>
      <c r="M223" s="130" t="s">
        <v>1004</v>
      </c>
      <c r="N223" s="130" t="s">
        <v>1005</v>
      </c>
      <c r="O223" s="130"/>
      <c r="P223" s="130" t="s">
        <v>1006</v>
      </c>
      <c r="Q223" s="130">
        <v>19522211828</v>
      </c>
      <c r="R223" s="130" t="s">
        <v>1007</v>
      </c>
      <c r="S223" s="130" t="s">
        <v>1008</v>
      </c>
      <c r="T223" s="130">
        <v>7003736</v>
      </c>
      <c r="U223" s="130" t="s">
        <v>1006</v>
      </c>
      <c r="V223" s="130">
        <v>13330626680</v>
      </c>
      <c r="W223" s="130" t="s">
        <v>1014</v>
      </c>
      <c r="X223" s="130" t="s">
        <v>1015</v>
      </c>
      <c r="Y223" s="130" t="s">
        <v>1022</v>
      </c>
      <c r="Z223" s="130" t="s">
        <v>1023</v>
      </c>
      <c r="AA223" s="128"/>
      <c r="AB223" s="128">
        <v>21.42</v>
      </c>
      <c r="AC223" s="128">
        <v>19.85</v>
      </c>
      <c r="AD223" s="128"/>
      <c r="AF223" s="130" t="s">
        <v>1021</v>
      </c>
      <c r="AG223" s="128"/>
      <c r="AH223" s="128"/>
      <c r="AI223" s="128"/>
      <c r="AJ223" s="128"/>
      <c r="AK223" s="128"/>
      <c r="AL223" s="128"/>
      <c r="AM223" s="128"/>
    </row>
    <row r="224" customHeight="1" spans="1:39">
      <c r="A224" s="130" t="s">
        <v>995</v>
      </c>
      <c r="B224" s="130" t="s">
        <v>996</v>
      </c>
      <c r="C224" s="130" t="s">
        <v>997</v>
      </c>
      <c r="D224" s="130" t="s">
        <v>1024</v>
      </c>
      <c r="E224" s="130"/>
      <c r="F224" s="130" t="s">
        <v>999</v>
      </c>
      <c r="G224" s="130" t="s">
        <v>1000</v>
      </c>
      <c r="H224" s="130" t="s">
        <v>1001</v>
      </c>
      <c r="I224" s="130">
        <v>7001599</v>
      </c>
      <c r="J224" s="130" t="s">
        <v>1002</v>
      </c>
      <c r="K224" s="130">
        <v>17780922623</v>
      </c>
      <c r="L224" s="130" t="s">
        <v>1025</v>
      </c>
      <c r="M224" s="130" t="s">
        <v>1004</v>
      </c>
      <c r="N224" s="130" t="s">
        <v>1026</v>
      </c>
      <c r="O224" s="130"/>
      <c r="P224" s="130" t="s">
        <v>1027</v>
      </c>
      <c r="Q224" s="130">
        <v>15082653961</v>
      </c>
      <c r="R224" s="130" t="s">
        <v>1028</v>
      </c>
      <c r="S224" s="130" t="s">
        <v>1029</v>
      </c>
      <c r="T224" s="130">
        <v>7002079</v>
      </c>
      <c r="U224" s="130" t="s">
        <v>1027</v>
      </c>
      <c r="V224" s="130">
        <v>15082653961</v>
      </c>
      <c r="W224" s="130" t="s">
        <v>1030</v>
      </c>
      <c r="X224" s="130" t="s">
        <v>1029</v>
      </c>
      <c r="Y224" s="130" t="s">
        <v>1031</v>
      </c>
      <c r="Z224" s="130" t="s">
        <v>1032</v>
      </c>
      <c r="AA224" s="128">
        <v>486.41</v>
      </c>
      <c r="AB224" s="128">
        <v>485.43</v>
      </c>
      <c r="AC224" s="128">
        <v>449.58</v>
      </c>
      <c r="AD224" s="128"/>
      <c r="AF224" s="130" t="s">
        <v>1033</v>
      </c>
      <c r="AG224" s="128"/>
      <c r="AH224" s="128"/>
      <c r="AI224" s="128"/>
      <c r="AJ224" s="128"/>
      <c r="AK224" s="128"/>
      <c r="AL224" s="128"/>
      <c r="AM224" s="128"/>
    </row>
    <row r="225" customHeight="1" spans="1:39">
      <c r="A225" s="130" t="s">
        <v>995</v>
      </c>
      <c r="B225" s="130" t="s">
        <v>996</v>
      </c>
      <c r="C225" s="130" t="s">
        <v>997</v>
      </c>
      <c r="D225" s="130" t="s">
        <v>1024</v>
      </c>
      <c r="E225" s="130"/>
      <c r="F225" s="130" t="s">
        <v>999</v>
      </c>
      <c r="G225" s="130" t="s">
        <v>1000</v>
      </c>
      <c r="H225" s="130" t="s">
        <v>1001</v>
      </c>
      <c r="I225" s="130">
        <v>7001599</v>
      </c>
      <c r="J225" s="130" t="s">
        <v>1002</v>
      </c>
      <c r="K225" s="130">
        <v>17780922623</v>
      </c>
      <c r="L225" s="130" t="s">
        <v>1025</v>
      </c>
      <c r="M225" s="130" t="s">
        <v>1004</v>
      </c>
      <c r="N225" s="130" t="s">
        <v>1026</v>
      </c>
      <c r="O225" s="130"/>
      <c r="P225" s="130" t="s">
        <v>1027</v>
      </c>
      <c r="Q225" s="130">
        <v>15082653961</v>
      </c>
      <c r="R225" s="130" t="s">
        <v>1028</v>
      </c>
      <c r="S225" s="130" t="s">
        <v>1029</v>
      </c>
      <c r="T225" s="130">
        <v>7002079</v>
      </c>
      <c r="U225" s="130" t="s">
        <v>1027</v>
      </c>
      <c r="V225" s="130">
        <v>15082653961</v>
      </c>
      <c r="W225" s="130" t="s">
        <v>1030</v>
      </c>
      <c r="X225" s="130" t="s">
        <v>1029</v>
      </c>
      <c r="Y225" s="130" t="s">
        <v>1034</v>
      </c>
      <c r="Z225" s="130" t="s">
        <v>1035</v>
      </c>
      <c r="AA225" s="128">
        <v>20.59</v>
      </c>
      <c r="AB225" s="128">
        <v>20.74</v>
      </c>
      <c r="AC225" s="128">
        <v>19.28</v>
      </c>
      <c r="AD225" s="128"/>
      <c r="AF225" s="130" t="s">
        <v>1036</v>
      </c>
      <c r="AG225" s="128"/>
      <c r="AH225" s="128"/>
      <c r="AI225" s="128"/>
      <c r="AJ225" s="128"/>
      <c r="AK225" s="128"/>
      <c r="AL225" s="128"/>
      <c r="AM225" s="128"/>
    </row>
    <row r="226" customHeight="1" spans="1:39">
      <c r="A226" s="130" t="s">
        <v>995</v>
      </c>
      <c r="B226" s="130" t="s">
        <v>996</v>
      </c>
      <c r="C226" s="130" t="s">
        <v>997</v>
      </c>
      <c r="D226" s="130" t="s">
        <v>1024</v>
      </c>
      <c r="E226" s="130"/>
      <c r="F226" s="130" t="s">
        <v>999</v>
      </c>
      <c r="G226" s="130" t="s">
        <v>1000</v>
      </c>
      <c r="H226" s="130" t="s">
        <v>1001</v>
      </c>
      <c r="I226" s="130">
        <v>7001599</v>
      </c>
      <c r="J226" s="130" t="s">
        <v>1002</v>
      </c>
      <c r="K226" s="130">
        <v>17780922623</v>
      </c>
      <c r="L226" s="130" t="s">
        <v>1025</v>
      </c>
      <c r="M226" s="130" t="s">
        <v>1004</v>
      </c>
      <c r="N226" s="130" t="s">
        <v>1026</v>
      </c>
      <c r="O226" s="130"/>
      <c r="P226" s="130" t="s">
        <v>1027</v>
      </c>
      <c r="Q226" s="130">
        <v>15082653961</v>
      </c>
      <c r="R226" s="130" t="s">
        <v>1028</v>
      </c>
      <c r="S226" s="130" t="s">
        <v>1029</v>
      </c>
      <c r="T226" s="130">
        <v>7002079</v>
      </c>
      <c r="U226" s="130" t="s">
        <v>1027</v>
      </c>
      <c r="V226" s="130">
        <v>15082653961</v>
      </c>
      <c r="W226" s="130" t="s">
        <v>1030</v>
      </c>
      <c r="X226" s="130" t="s">
        <v>1029</v>
      </c>
      <c r="Y226" s="130" t="s">
        <v>1037</v>
      </c>
      <c r="Z226" s="130" t="s">
        <v>1038</v>
      </c>
      <c r="AA226" s="128">
        <v>114.41</v>
      </c>
      <c r="AB226" s="128">
        <v>115.7</v>
      </c>
      <c r="AC226" s="128">
        <v>113.94</v>
      </c>
      <c r="AD226" s="128"/>
      <c r="AF226" s="130" t="s">
        <v>1039</v>
      </c>
      <c r="AG226" s="128"/>
      <c r="AH226" s="128"/>
      <c r="AI226" s="128"/>
      <c r="AJ226" s="128"/>
      <c r="AK226" s="128"/>
      <c r="AL226" s="128"/>
      <c r="AM226" s="128"/>
    </row>
    <row r="227" customHeight="1" spans="1:39">
      <c r="A227" s="130" t="s">
        <v>995</v>
      </c>
      <c r="B227" s="130" t="s">
        <v>996</v>
      </c>
      <c r="C227" s="130" t="s">
        <v>997</v>
      </c>
      <c r="D227" s="130" t="s">
        <v>1040</v>
      </c>
      <c r="E227" s="130"/>
      <c r="F227" s="130" t="s">
        <v>999</v>
      </c>
      <c r="G227" s="130" t="s">
        <v>1000</v>
      </c>
      <c r="H227" s="130" t="s">
        <v>1001</v>
      </c>
      <c r="I227" s="130">
        <v>7001599</v>
      </c>
      <c r="J227" s="130" t="s">
        <v>1002</v>
      </c>
      <c r="K227" s="130">
        <v>17780922623</v>
      </c>
      <c r="L227" s="130" t="s">
        <v>1041</v>
      </c>
      <c r="M227" s="130" t="s">
        <v>1004</v>
      </c>
      <c r="N227" s="130" t="s">
        <v>1042</v>
      </c>
      <c r="O227" s="130"/>
      <c r="P227" s="130" t="s">
        <v>1043</v>
      </c>
      <c r="Q227" s="130">
        <v>14780098824</v>
      </c>
      <c r="R227" s="130" t="s">
        <v>1044</v>
      </c>
      <c r="S227" s="130" t="s">
        <v>1045</v>
      </c>
      <c r="T227" s="130">
        <v>7003253</v>
      </c>
      <c r="U227" s="130" t="s">
        <v>1043</v>
      </c>
      <c r="V227" s="130">
        <v>14780098824</v>
      </c>
      <c r="W227" s="130" t="s">
        <v>1046</v>
      </c>
      <c r="X227" s="130" t="s">
        <v>1045</v>
      </c>
      <c r="Y227" s="130" t="s">
        <v>1047</v>
      </c>
      <c r="Z227" s="130" t="s">
        <v>1048</v>
      </c>
      <c r="AA227" s="128">
        <v>355</v>
      </c>
      <c r="AB227" s="128">
        <v>292.27</v>
      </c>
      <c r="AC227" s="128">
        <v>258.73</v>
      </c>
      <c r="AD227" s="128"/>
      <c r="AF227" s="130" t="s">
        <v>1049</v>
      </c>
      <c r="AG227" s="128"/>
      <c r="AH227" s="128"/>
      <c r="AI227" s="128"/>
      <c r="AJ227" s="128"/>
      <c r="AK227" s="128"/>
      <c r="AL227" s="128"/>
      <c r="AM227" s="128"/>
    </row>
    <row r="228" customHeight="1" spans="1:39">
      <c r="A228" s="130" t="s">
        <v>995</v>
      </c>
      <c r="B228" s="130" t="s">
        <v>996</v>
      </c>
      <c r="C228" s="130" t="s">
        <v>997</v>
      </c>
      <c r="D228" s="130" t="s">
        <v>1040</v>
      </c>
      <c r="E228" s="130"/>
      <c r="F228" s="130" t="s">
        <v>999</v>
      </c>
      <c r="G228" s="130" t="s">
        <v>1000</v>
      </c>
      <c r="H228" s="130" t="s">
        <v>1001</v>
      </c>
      <c r="I228" s="130">
        <v>7001599</v>
      </c>
      <c r="J228" s="130" t="s">
        <v>1002</v>
      </c>
      <c r="K228" s="130">
        <v>17780922623</v>
      </c>
      <c r="L228" s="130" t="s">
        <v>1041</v>
      </c>
      <c r="M228" s="130" t="s">
        <v>1004</v>
      </c>
      <c r="N228" s="130" t="s">
        <v>1042</v>
      </c>
      <c r="O228" s="130"/>
      <c r="P228" s="130" t="s">
        <v>1043</v>
      </c>
      <c r="Q228" s="130">
        <v>14780098824</v>
      </c>
      <c r="R228" s="130" t="s">
        <v>1044</v>
      </c>
      <c r="S228" s="130" t="s">
        <v>1045</v>
      </c>
      <c r="T228" s="130">
        <v>7003253</v>
      </c>
      <c r="U228" s="130" t="s">
        <v>1043</v>
      </c>
      <c r="V228" s="130">
        <v>14780098824</v>
      </c>
      <c r="W228" s="130" t="s">
        <v>1046</v>
      </c>
      <c r="X228" s="130" t="s">
        <v>1045</v>
      </c>
      <c r="Y228" s="130" t="s">
        <v>1050</v>
      </c>
      <c r="Z228" s="130" t="s">
        <v>1051</v>
      </c>
      <c r="AA228" s="128">
        <v>3.87</v>
      </c>
      <c r="AB228" s="128">
        <v>3.83</v>
      </c>
      <c r="AC228" s="128">
        <v>0.72</v>
      </c>
      <c r="AD228" s="128"/>
      <c r="AF228" s="130" t="s">
        <v>1052</v>
      </c>
      <c r="AG228" s="128"/>
      <c r="AH228" s="128"/>
      <c r="AI228" s="128"/>
      <c r="AJ228" s="128"/>
      <c r="AK228" s="128"/>
      <c r="AL228" s="128"/>
      <c r="AM228" s="128"/>
    </row>
    <row r="229" customHeight="1" spans="1:39">
      <c r="A229" s="130" t="s">
        <v>995</v>
      </c>
      <c r="B229" s="130" t="s">
        <v>996</v>
      </c>
      <c r="C229" s="130" t="s">
        <v>997</v>
      </c>
      <c r="D229" s="130" t="s">
        <v>1040</v>
      </c>
      <c r="E229" s="130"/>
      <c r="F229" s="130" t="s">
        <v>999</v>
      </c>
      <c r="G229" s="130" t="s">
        <v>1000</v>
      </c>
      <c r="H229" s="130" t="s">
        <v>1001</v>
      </c>
      <c r="I229" s="130">
        <v>7001599</v>
      </c>
      <c r="J229" s="130" t="s">
        <v>1002</v>
      </c>
      <c r="K229" s="130">
        <v>17780922623</v>
      </c>
      <c r="L229" s="130" t="s">
        <v>1041</v>
      </c>
      <c r="M229" s="130" t="s">
        <v>1004</v>
      </c>
      <c r="N229" s="130" t="s">
        <v>1042</v>
      </c>
      <c r="O229" s="130"/>
      <c r="P229" s="130" t="s">
        <v>1043</v>
      </c>
      <c r="Q229" s="130">
        <v>14780098824</v>
      </c>
      <c r="R229" s="130" t="s">
        <v>1044</v>
      </c>
      <c r="S229" s="130" t="s">
        <v>1045</v>
      </c>
      <c r="T229" s="130">
        <v>7003253</v>
      </c>
      <c r="U229" s="130" t="s">
        <v>1043</v>
      </c>
      <c r="V229" s="130">
        <v>14780098824</v>
      </c>
      <c r="W229" s="130" t="s">
        <v>1046</v>
      </c>
      <c r="X229" s="130" t="s">
        <v>1045</v>
      </c>
      <c r="Y229" s="130" t="s">
        <v>1053</v>
      </c>
      <c r="Z229" s="130" t="s">
        <v>1054</v>
      </c>
      <c r="AA229" s="128">
        <v>396.65</v>
      </c>
      <c r="AB229" s="128">
        <v>293.29</v>
      </c>
      <c r="AC229" s="128">
        <v>245.36</v>
      </c>
      <c r="AD229" s="128"/>
      <c r="AF229" s="130" t="s">
        <v>1055</v>
      </c>
      <c r="AG229" s="128"/>
      <c r="AH229" s="128"/>
      <c r="AI229" s="128"/>
      <c r="AJ229" s="128"/>
      <c r="AK229" s="128"/>
      <c r="AL229" s="128"/>
      <c r="AM229" s="128"/>
    </row>
    <row r="230" customHeight="1" spans="1:39">
      <c r="A230" s="130" t="s">
        <v>995</v>
      </c>
      <c r="B230" s="130" t="s">
        <v>996</v>
      </c>
      <c r="C230" s="130" t="s">
        <v>997</v>
      </c>
      <c r="D230" s="130" t="s">
        <v>998</v>
      </c>
      <c r="E230" s="130"/>
      <c r="F230" s="130" t="s">
        <v>999</v>
      </c>
      <c r="G230" s="130" t="s">
        <v>1000</v>
      </c>
      <c r="H230" s="130" t="s">
        <v>1001</v>
      </c>
      <c r="I230" s="130">
        <v>7001599</v>
      </c>
      <c r="J230" s="130" t="s">
        <v>1002</v>
      </c>
      <c r="K230" s="130">
        <v>17780922623</v>
      </c>
      <c r="L230" s="130" t="s">
        <v>1003</v>
      </c>
      <c r="M230" s="130" t="s">
        <v>1004</v>
      </c>
      <c r="N230" s="130" t="s">
        <v>1005</v>
      </c>
      <c r="O230" s="130"/>
      <c r="P230" s="130" t="s">
        <v>1056</v>
      </c>
      <c r="Q230" s="130">
        <v>15378266663</v>
      </c>
      <c r="R230" s="130" t="s">
        <v>1057</v>
      </c>
      <c r="S230" s="130" t="s">
        <v>1058</v>
      </c>
      <c r="T230" s="130">
        <v>7002078</v>
      </c>
      <c r="U230" s="130" t="s">
        <v>1056</v>
      </c>
      <c r="V230" s="130">
        <v>15378266663</v>
      </c>
      <c r="W230" s="130" t="s">
        <v>1059</v>
      </c>
      <c r="X230" s="130" t="s">
        <v>1058</v>
      </c>
      <c r="Y230" s="130" t="s">
        <v>1060</v>
      </c>
      <c r="Z230" s="130" t="s">
        <v>1061</v>
      </c>
      <c r="AA230" s="128">
        <v>380</v>
      </c>
      <c r="AB230" s="128">
        <v>392.67</v>
      </c>
      <c r="AC230" s="128">
        <v>287.95</v>
      </c>
      <c r="AD230" s="128"/>
      <c r="AF230" s="130" t="s">
        <v>1062</v>
      </c>
      <c r="AG230" s="128"/>
      <c r="AH230" s="128"/>
      <c r="AI230" s="128"/>
      <c r="AJ230" s="128"/>
      <c r="AK230" s="128"/>
      <c r="AL230" s="128"/>
      <c r="AM230" s="128"/>
    </row>
    <row r="231" customHeight="1" spans="1:39">
      <c r="A231" s="130" t="s">
        <v>995</v>
      </c>
      <c r="B231" s="130" t="s">
        <v>996</v>
      </c>
      <c r="C231" s="130" t="s">
        <v>997</v>
      </c>
      <c r="D231" s="130" t="s">
        <v>1063</v>
      </c>
      <c r="E231" s="130"/>
      <c r="F231" s="130" t="s">
        <v>999</v>
      </c>
      <c r="G231" s="130" t="s">
        <v>1000</v>
      </c>
      <c r="H231" s="130" t="s">
        <v>1001</v>
      </c>
      <c r="I231" s="130">
        <v>7001599</v>
      </c>
      <c r="J231" s="130" t="s">
        <v>1002</v>
      </c>
      <c r="K231" s="130">
        <v>17780922623</v>
      </c>
      <c r="L231" s="130" t="s">
        <v>1064</v>
      </c>
      <c r="M231" s="130" t="s">
        <v>1004</v>
      </c>
      <c r="N231" s="130" t="s">
        <v>1065</v>
      </c>
      <c r="O231" s="130"/>
      <c r="P231" s="130" t="s">
        <v>1066</v>
      </c>
      <c r="Q231" s="130">
        <v>13880397664</v>
      </c>
      <c r="R231" s="130" t="s">
        <v>1067</v>
      </c>
      <c r="S231" s="130" t="s">
        <v>1068</v>
      </c>
      <c r="T231" s="130">
        <v>7003283</v>
      </c>
      <c r="U231" s="130" t="s">
        <v>1069</v>
      </c>
      <c r="V231" s="130">
        <v>19976719338</v>
      </c>
      <c r="W231" s="130" t="s">
        <v>1070</v>
      </c>
      <c r="X231" s="130" t="s">
        <v>1071</v>
      </c>
      <c r="Y231" s="130" t="s">
        <v>1072</v>
      </c>
      <c r="Z231" s="130" t="s">
        <v>1073</v>
      </c>
      <c r="AA231" s="128">
        <v>317.02</v>
      </c>
      <c r="AB231" s="128">
        <v>311.58</v>
      </c>
      <c r="AC231" s="128">
        <v>308.79</v>
      </c>
      <c r="AD231" s="128"/>
      <c r="AF231" s="130" t="s">
        <v>1074</v>
      </c>
      <c r="AG231" s="128"/>
      <c r="AH231" s="128"/>
      <c r="AI231" s="128"/>
      <c r="AJ231" s="128"/>
      <c r="AK231" s="128"/>
      <c r="AL231" s="128"/>
      <c r="AM231" s="128"/>
    </row>
    <row r="232" customHeight="1" spans="1:39">
      <c r="A232" s="130" t="s">
        <v>995</v>
      </c>
      <c r="B232" s="130" t="s">
        <v>996</v>
      </c>
      <c r="C232" s="130" t="s">
        <v>997</v>
      </c>
      <c r="D232" s="130" t="s">
        <v>1063</v>
      </c>
      <c r="E232" s="130"/>
      <c r="F232" s="130" t="s">
        <v>999</v>
      </c>
      <c r="G232" s="130" t="s">
        <v>1000</v>
      </c>
      <c r="H232" s="130" t="s">
        <v>1001</v>
      </c>
      <c r="I232" s="130">
        <v>7001599</v>
      </c>
      <c r="J232" s="130" t="s">
        <v>1002</v>
      </c>
      <c r="K232" s="130">
        <v>17780922623</v>
      </c>
      <c r="L232" s="130" t="s">
        <v>1075</v>
      </c>
      <c r="M232" s="130" t="s">
        <v>1076</v>
      </c>
      <c r="N232" s="130" t="s">
        <v>1077</v>
      </c>
      <c r="O232" s="130"/>
      <c r="P232" s="130" t="s">
        <v>1078</v>
      </c>
      <c r="Q232" s="130">
        <v>18215526825</v>
      </c>
      <c r="R232" s="130" t="s">
        <v>1079</v>
      </c>
      <c r="S232" s="130" t="s">
        <v>1080</v>
      </c>
      <c r="T232" s="130">
        <v>7004029</v>
      </c>
      <c r="U232" s="130" t="s">
        <v>1081</v>
      </c>
      <c r="V232" s="130">
        <v>18215526825</v>
      </c>
      <c r="W232" s="130" t="s">
        <v>1082</v>
      </c>
      <c r="X232" s="130" t="s">
        <v>1083</v>
      </c>
      <c r="Y232" s="130" t="s">
        <v>1084</v>
      </c>
      <c r="Z232" s="130" t="s">
        <v>1085</v>
      </c>
      <c r="AA232" s="128">
        <v>2573.11</v>
      </c>
      <c r="AB232" s="128">
        <v>373.8</v>
      </c>
      <c r="AC232" s="128">
        <v>331.34</v>
      </c>
      <c r="AD232" s="128" t="s">
        <v>1086</v>
      </c>
      <c r="AF232" s="130" t="s">
        <v>1087</v>
      </c>
      <c r="AG232" s="128"/>
      <c r="AH232" s="128"/>
      <c r="AI232" s="128"/>
      <c r="AJ232" s="128"/>
      <c r="AK232" s="128"/>
      <c r="AL232" s="128"/>
      <c r="AM232" s="128"/>
    </row>
    <row r="233" customHeight="1" spans="1:39">
      <c r="A233" s="130" t="s">
        <v>995</v>
      </c>
      <c r="B233" s="130" t="s">
        <v>996</v>
      </c>
      <c r="C233" s="130" t="s">
        <v>997</v>
      </c>
      <c r="D233" s="130" t="s">
        <v>1063</v>
      </c>
      <c r="E233" s="130"/>
      <c r="F233" s="130" t="s">
        <v>999</v>
      </c>
      <c r="G233" s="130" t="s">
        <v>1000</v>
      </c>
      <c r="H233" s="130" t="s">
        <v>1001</v>
      </c>
      <c r="I233" s="130">
        <v>7001599</v>
      </c>
      <c r="J233" s="130" t="s">
        <v>1002</v>
      </c>
      <c r="K233" s="130">
        <v>17780922623</v>
      </c>
      <c r="L233" s="130" t="s">
        <v>1075</v>
      </c>
      <c r="M233" s="130" t="s">
        <v>1076</v>
      </c>
      <c r="N233" s="130" t="s">
        <v>1077</v>
      </c>
      <c r="O233" s="130"/>
      <c r="P233" s="130" t="s">
        <v>1078</v>
      </c>
      <c r="Q233" s="130">
        <v>18215526825</v>
      </c>
      <c r="R233" s="130" t="s">
        <v>1079</v>
      </c>
      <c r="S233" s="130" t="s">
        <v>1080</v>
      </c>
      <c r="T233" s="130">
        <v>7004029</v>
      </c>
      <c r="U233" s="130" t="s">
        <v>1081</v>
      </c>
      <c r="V233" s="130">
        <v>18215526825</v>
      </c>
      <c r="W233" s="130" t="s">
        <v>1082</v>
      </c>
      <c r="X233" s="130" t="s">
        <v>1083</v>
      </c>
      <c r="Y233" s="130" t="s">
        <v>1084</v>
      </c>
      <c r="Z233" s="130" t="s">
        <v>1088</v>
      </c>
      <c r="AA233" s="128">
        <v>2573.11</v>
      </c>
      <c r="AB233" s="128">
        <v>266</v>
      </c>
      <c r="AC233" s="128">
        <v>257.36</v>
      </c>
      <c r="AD233" s="128"/>
      <c r="AF233" s="130" t="s">
        <v>1089</v>
      </c>
      <c r="AG233" s="128"/>
      <c r="AH233" s="128"/>
      <c r="AI233" s="128"/>
      <c r="AJ233" s="128"/>
      <c r="AK233" s="128"/>
      <c r="AL233" s="128"/>
      <c r="AM233" s="128"/>
    </row>
    <row r="234" customHeight="1" spans="1:39">
      <c r="A234" s="130" t="s">
        <v>995</v>
      </c>
      <c r="B234" s="130" t="s">
        <v>996</v>
      </c>
      <c r="C234" s="130" t="s">
        <v>997</v>
      </c>
      <c r="D234" s="130" t="s">
        <v>1063</v>
      </c>
      <c r="E234" s="130"/>
      <c r="F234" s="130" t="s">
        <v>999</v>
      </c>
      <c r="G234" s="130" t="s">
        <v>1000</v>
      </c>
      <c r="H234" s="130" t="s">
        <v>1001</v>
      </c>
      <c r="I234" s="130">
        <v>7001599</v>
      </c>
      <c r="J234" s="130" t="s">
        <v>1002</v>
      </c>
      <c r="K234" s="130">
        <v>17780922623</v>
      </c>
      <c r="L234" s="130" t="s">
        <v>1075</v>
      </c>
      <c r="M234" s="130" t="s">
        <v>1076</v>
      </c>
      <c r="N234" s="130" t="s">
        <v>1077</v>
      </c>
      <c r="O234" s="130"/>
      <c r="P234" s="130" t="s">
        <v>1081</v>
      </c>
      <c r="Q234" s="130">
        <v>13882625255</v>
      </c>
      <c r="R234" s="130" t="s">
        <v>1090</v>
      </c>
      <c r="S234" s="130" t="s">
        <v>1091</v>
      </c>
      <c r="T234" s="130">
        <v>7002739</v>
      </c>
      <c r="U234" s="130" t="s">
        <v>1092</v>
      </c>
      <c r="V234" s="130">
        <v>13882625255</v>
      </c>
      <c r="W234" s="130" t="s">
        <v>1093</v>
      </c>
      <c r="X234" s="130" t="s">
        <v>1094</v>
      </c>
      <c r="Y234" s="130" t="s">
        <v>1095</v>
      </c>
      <c r="Z234" s="130" t="s">
        <v>1096</v>
      </c>
      <c r="AA234" s="128">
        <v>2573.11</v>
      </c>
      <c r="AB234" s="128">
        <v>495.52</v>
      </c>
      <c r="AC234" s="128">
        <v>463.5</v>
      </c>
      <c r="AD234" s="128"/>
      <c r="AF234" s="130" t="s">
        <v>1089</v>
      </c>
      <c r="AG234" s="128"/>
      <c r="AH234" s="128"/>
      <c r="AI234" s="128"/>
      <c r="AJ234" s="128"/>
      <c r="AK234" s="128"/>
      <c r="AL234" s="128"/>
      <c r="AM234" s="128"/>
    </row>
    <row r="235" customHeight="1" spans="1:39">
      <c r="A235" s="130" t="s">
        <v>995</v>
      </c>
      <c r="B235" s="130" t="s">
        <v>996</v>
      </c>
      <c r="C235" s="130" t="s">
        <v>997</v>
      </c>
      <c r="D235" s="130" t="s">
        <v>1063</v>
      </c>
      <c r="E235" s="130"/>
      <c r="F235" s="130" t="s">
        <v>999</v>
      </c>
      <c r="G235" s="130" t="s">
        <v>1000</v>
      </c>
      <c r="H235" s="130" t="s">
        <v>1001</v>
      </c>
      <c r="I235" s="130">
        <v>7001599</v>
      </c>
      <c r="J235" s="130" t="s">
        <v>1002</v>
      </c>
      <c r="K235" s="130">
        <v>17780922623</v>
      </c>
      <c r="L235" s="130" t="s">
        <v>1075</v>
      </c>
      <c r="M235" s="130" t="s">
        <v>1076</v>
      </c>
      <c r="N235" s="130" t="s">
        <v>1077</v>
      </c>
      <c r="O235" s="130"/>
      <c r="P235" s="130" t="s">
        <v>1092</v>
      </c>
      <c r="Q235" s="130">
        <v>19197827601</v>
      </c>
      <c r="R235" s="130" t="s">
        <v>1097</v>
      </c>
      <c r="S235" s="130" t="s">
        <v>1098</v>
      </c>
      <c r="T235" s="130">
        <v>7002084</v>
      </c>
      <c r="U235" s="130" t="s">
        <v>1099</v>
      </c>
      <c r="V235" s="130">
        <v>19197827601</v>
      </c>
      <c r="W235" s="130" t="s">
        <v>1100</v>
      </c>
      <c r="X235" s="130" t="s">
        <v>1101</v>
      </c>
      <c r="Y235" s="130" t="s">
        <v>1102</v>
      </c>
      <c r="Z235" s="130" t="s">
        <v>1103</v>
      </c>
      <c r="AA235" s="128">
        <v>2573.11</v>
      </c>
      <c r="AB235" s="128">
        <v>442.86</v>
      </c>
      <c r="AC235" s="128">
        <v>419.85</v>
      </c>
      <c r="AD235" s="128"/>
      <c r="AF235" s="130" t="s">
        <v>1087</v>
      </c>
      <c r="AG235" s="128"/>
      <c r="AH235" s="128"/>
      <c r="AI235" s="128"/>
      <c r="AJ235" s="128"/>
      <c r="AK235" s="128"/>
      <c r="AL235" s="128"/>
      <c r="AM235" s="128"/>
    </row>
    <row r="236" customHeight="1" spans="1:39">
      <c r="A236" s="130" t="s">
        <v>995</v>
      </c>
      <c r="B236" s="130" t="s">
        <v>996</v>
      </c>
      <c r="C236" s="130" t="s">
        <v>997</v>
      </c>
      <c r="D236" s="130" t="s">
        <v>1063</v>
      </c>
      <c r="E236" s="130"/>
      <c r="F236" s="130" t="s">
        <v>999</v>
      </c>
      <c r="G236" s="130" t="s">
        <v>1000</v>
      </c>
      <c r="H236" s="130" t="s">
        <v>1001</v>
      </c>
      <c r="I236" s="130">
        <v>7001599</v>
      </c>
      <c r="J236" s="130" t="s">
        <v>1002</v>
      </c>
      <c r="K236" s="130">
        <v>17780922623</v>
      </c>
      <c r="L236" s="130" t="s">
        <v>1075</v>
      </c>
      <c r="M236" s="130" t="s">
        <v>1076</v>
      </c>
      <c r="N236" s="130" t="s">
        <v>1077</v>
      </c>
      <c r="O236" s="130"/>
      <c r="P236" s="130" t="s">
        <v>1092</v>
      </c>
      <c r="Q236" s="130">
        <v>19197827601</v>
      </c>
      <c r="R236" s="130" t="s">
        <v>1097</v>
      </c>
      <c r="S236" s="130" t="s">
        <v>1098</v>
      </c>
      <c r="T236" s="130">
        <v>7002084</v>
      </c>
      <c r="U236" s="130" t="s">
        <v>1099</v>
      </c>
      <c r="V236" s="130">
        <v>19197827601</v>
      </c>
      <c r="W236" s="130" t="s">
        <v>1100</v>
      </c>
      <c r="X236" s="130" t="s">
        <v>1101</v>
      </c>
      <c r="Y236" s="130" t="s">
        <v>1102</v>
      </c>
      <c r="Z236" s="130" t="s">
        <v>1104</v>
      </c>
      <c r="AA236" s="128">
        <v>2573.11</v>
      </c>
      <c r="AB236" s="128">
        <v>153.91</v>
      </c>
      <c r="AC236" s="128">
        <v>144.66</v>
      </c>
      <c r="AD236" s="128"/>
      <c r="AF236" s="130" t="s">
        <v>1089</v>
      </c>
      <c r="AG236" s="128"/>
      <c r="AH236" s="128"/>
      <c r="AI236" s="128"/>
      <c r="AJ236" s="128"/>
      <c r="AK236" s="128"/>
      <c r="AL236" s="128"/>
      <c r="AM236" s="128"/>
    </row>
    <row r="237" customHeight="1" spans="1:39">
      <c r="A237" s="130" t="s">
        <v>995</v>
      </c>
      <c r="B237" s="130" t="s">
        <v>996</v>
      </c>
      <c r="C237" s="130" t="s">
        <v>997</v>
      </c>
      <c r="D237" s="130" t="s">
        <v>1063</v>
      </c>
      <c r="E237" s="130"/>
      <c r="F237" s="130" t="s">
        <v>999</v>
      </c>
      <c r="G237" s="130" t="s">
        <v>1000</v>
      </c>
      <c r="H237" s="130" t="s">
        <v>1001</v>
      </c>
      <c r="I237" s="130">
        <v>7001599</v>
      </c>
      <c r="J237" s="130" t="s">
        <v>1002</v>
      </c>
      <c r="K237" s="130">
        <v>17780922623</v>
      </c>
      <c r="L237" s="130" t="s">
        <v>1075</v>
      </c>
      <c r="M237" s="130" t="s">
        <v>1076</v>
      </c>
      <c r="N237" s="130" t="s">
        <v>1077</v>
      </c>
      <c r="O237" s="130"/>
      <c r="P237" s="130" t="s">
        <v>1078</v>
      </c>
      <c r="Q237" s="130">
        <v>18582611088</v>
      </c>
      <c r="R237" s="130" t="s">
        <v>1105</v>
      </c>
      <c r="S237" s="130" t="s">
        <v>1106</v>
      </c>
      <c r="T237" s="130">
        <v>7002086</v>
      </c>
      <c r="U237" s="130" t="s">
        <v>1078</v>
      </c>
      <c r="V237" s="130">
        <v>18582611088</v>
      </c>
      <c r="W237" s="130" t="s">
        <v>1107</v>
      </c>
      <c r="X237" s="130" t="s">
        <v>1108</v>
      </c>
      <c r="Y237" s="130" t="s">
        <v>1109</v>
      </c>
      <c r="Z237" s="130" t="s">
        <v>1108</v>
      </c>
      <c r="AA237" s="128">
        <v>2573.11</v>
      </c>
      <c r="AB237" s="128">
        <v>598.61</v>
      </c>
      <c r="AC237" s="128">
        <v>562.44</v>
      </c>
      <c r="AD237" s="128"/>
      <c r="AF237" s="130" t="s">
        <v>1087</v>
      </c>
      <c r="AG237" s="128"/>
      <c r="AH237" s="128"/>
      <c r="AI237" s="128"/>
      <c r="AJ237" s="128"/>
      <c r="AK237" s="128"/>
      <c r="AL237" s="128"/>
      <c r="AM237" s="128"/>
    </row>
    <row r="238" customHeight="1" spans="1:39">
      <c r="A238" s="130" t="s">
        <v>995</v>
      </c>
      <c r="B238" s="130" t="s">
        <v>996</v>
      </c>
      <c r="C238" s="130" t="s">
        <v>997</v>
      </c>
      <c r="D238" s="130" t="s">
        <v>1063</v>
      </c>
      <c r="E238" s="130"/>
      <c r="F238" s="130" t="s">
        <v>999</v>
      </c>
      <c r="G238" s="130" t="s">
        <v>1000</v>
      </c>
      <c r="H238" s="130" t="s">
        <v>1001</v>
      </c>
      <c r="I238" s="130">
        <v>7001599</v>
      </c>
      <c r="J238" s="130" t="s">
        <v>1002</v>
      </c>
      <c r="K238" s="130">
        <v>17780922623</v>
      </c>
      <c r="L238" s="130" t="s">
        <v>1064</v>
      </c>
      <c r="M238" s="130" t="s">
        <v>1110</v>
      </c>
      <c r="N238" s="130" t="s">
        <v>1065</v>
      </c>
      <c r="O238" s="130"/>
      <c r="P238" s="130" t="s">
        <v>1111</v>
      </c>
      <c r="Q238" s="130">
        <v>18036200722</v>
      </c>
      <c r="R238" s="130" t="s">
        <v>1112</v>
      </c>
      <c r="S238" s="130" t="s">
        <v>1113</v>
      </c>
      <c r="T238" s="130" t="s">
        <v>1114</v>
      </c>
      <c r="U238" s="130" t="s">
        <v>1111</v>
      </c>
      <c r="V238" s="130">
        <v>18036200722</v>
      </c>
      <c r="W238" s="130" t="s">
        <v>1115</v>
      </c>
      <c r="X238" s="130" t="s">
        <v>1113</v>
      </c>
      <c r="Y238" s="130" t="s">
        <v>1116</v>
      </c>
      <c r="Z238" s="130" t="s">
        <v>1117</v>
      </c>
      <c r="AA238" s="128">
        <v>1084.47</v>
      </c>
      <c r="AB238" s="128">
        <v>1081</v>
      </c>
      <c r="AC238" s="128">
        <v>1027.26</v>
      </c>
      <c r="AD238" s="128"/>
      <c r="AF238" s="130" t="s">
        <v>1118</v>
      </c>
      <c r="AG238" s="128"/>
      <c r="AH238" s="128"/>
      <c r="AI238" s="128"/>
      <c r="AJ238" s="128"/>
      <c r="AK238" s="128"/>
      <c r="AL238" s="128"/>
      <c r="AM238" s="128"/>
    </row>
    <row r="239" customHeight="1" spans="1:39">
      <c r="A239" s="130" t="s">
        <v>995</v>
      </c>
      <c r="B239" s="130" t="s">
        <v>996</v>
      </c>
      <c r="C239" s="130" t="s">
        <v>997</v>
      </c>
      <c r="D239" s="130" t="s">
        <v>1063</v>
      </c>
      <c r="E239" s="130"/>
      <c r="F239" s="130" t="s">
        <v>999</v>
      </c>
      <c r="G239" s="130" t="s">
        <v>1000</v>
      </c>
      <c r="H239" s="130" t="s">
        <v>1001</v>
      </c>
      <c r="I239" s="130">
        <v>7001599</v>
      </c>
      <c r="J239" s="130" t="s">
        <v>1002</v>
      </c>
      <c r="K239" s="130">
        <v>17780922623</v>
      </c>
      <c r="L239" s="130" t="s">
        <v>1064</v>
      </c>
      <c r="M239" s="130" t="s">
        <v>1110</v>
      </c>
      <c r="N239" s="130" t="s">
        <v>1065</v>
      </c>
      <c r="O239" s="130"/>
      <c r="P239" s="130" t="s">
        <v>1111</v>
      </c>
      <c r="Q239" s="130">
        <v>18036200722</v>
      </c>
      <c r="R239" s="130" t="s">
        <v>1112</v>
      </c>
      <c r="S239" s="130" t="s">
        <v>1113</v>
      </c>
      <c r="T239" s="130" t="s">
        <v>1114</v>
      </c>
      <c r="U239" s="130" t="s">
        <v>1111</v>
      </c>
      <c r="V239" s="130">
        <v>18036200722</v>
      </c>
      <c r="W239" s="130" t="s">
        <v>1115</v>
      </c>
      <c r="X239" s="130" t="s">
        <v>1113</v>
      </c>
      <c r="Y239" s="130" t="s">
        <v>1119</v>
      </c>
      <c r="Z239" s="130" t="s">
        <v>1120</v>
      </c>
      <c r="AA239" s="128">
        <v>45.65</v>
      </c>
      <c r="AB239" s="128">
        <v>42.52</v>
      </c>
      <c r="AC239" s="128">
        <v>26.63</v>
      </c>
      <c r="AD239" s="128"/>
      <c r="AF239" s="130" t="s">
        <v>1121</v>
      </c>
      <c r="AG239" s="128"/>
      <c r="AH239" s="128"/>
      <c r="AI239" s="128"/>
      <c r="AJ239" s="128"/>
      <c r="AK239" s="128"/>
      <c r="AL239" s="128"/>
      <c r="AM239" s="128"/>
    </row>
    <row r="240" customHeight="1" spans="1:39">
      <c r="A240" s="130" t="s">
        <v>995</v>
      </c>
      <c r="B240" s="130" t="s">
        <v>996</v>
      </c>
      <c r="C240" s="130" t="s">
        <v>997</v>
      </c>
      <c r="D240" s="130" t="s">
        <v>1024</v>
      </c>
      <c r="E240" s="130"/>
      <c r="F240" s="130" t="s">
        <v>999</v>
      </c>
      <c r="G240" s="130" t="s">
        <v>1000</v>
      </c>
      <c r="H240" s="130" t="s">
        <v>1001</v>
      </c>
      <c r="I240" s="130">
        <v>7001599</v>
      </c>
      <c r="J240" s="130" t="s">
        <v>1002</v>
      </c>
      <c r="K240" s="130">
        <v>17780922623</v>
      </c>
      <c r="L240" s="130" t="s">
        <v>1025</v>
      </c>
      <c r="M240" s="130" t="s">
        <v>1110</v>
      </c>
      <c r="N240" s="130" t="s">
        <v>1026</v>
      </c>
      <c r="O240" s="130"/>
      <c r="P240" s="130" t="s">
        <v>1111</v>
      </c>
      <c r="Q240" s="130">
        <v>19976719338</v>
      </c>
      <c r="R240" s="130" t="s">
        <v>1122</v>
      </c>
      <c r="S240" s="130" t="s">
        <v>1123</v>
      </c>
      <c r="T240" s="130">
        <v>7002083</v>
      </c>
      <c r="U240" s="130" t="s">
        <v>1124</v>
      </c>
      <c r="V240" s="130">
        <v>19976719338</v>
      </c>
      <c r="W240" s="130" t="s">
        <v>1125</v>
      </c>
      <c r="X240" s="130" t="s">
        <v>1123</v>
      </c>
      <c r="Y240" s="130" t="s">
        <v>1126</v>
      </c>
      <c r="Z240" s="130" t="s">
        <v>1127</v>
      </c>
      <c r="AA240" s="128">
        <v>267.53</v>
      </c>
      <c r="AB240" s="128">
        <v>269.2</v>
      </c>
      <c r="AC240" s="128">
        <v>260.64</v>
      </c>
      <c r="AD240" s="128"/>
      <c r="AF240" s="130" t="s">
        <v>1128</v>
      </c>
      <c r="AG240" s="128"/>
      <c r="AH240" s="128"/>
      <c r="AI240" s="128"/>
      <c r="AJ240" s="128"/>
      <c r="AK240" s="128"/>
      <c r="AL240" s="128"/>
      <c r="AM240" s="128"/>
    </row>
    <row r="241" customHeight="1" spans="1:39">
      <c r="A241" s="130" t="s">
        <v>995</v>
      </c>
      <c r="B241" s="130" t="s">
        <v>996</v>
      </c>
      <c r="C241" s="130" t="s">
        <v>997</v>
      </c>
      <c r="D241" s="130" t="s">
        <v>1063</v>
      </c>
      <c r="E241" s="130"/>
      <c r="F241" s="130" t="s">
        <v>999</v>
      </c>
      <c r="G241" s="130" t="s">
        <v>1000</v>
      </c>
      <c r="H241" s="130" t="s">
        <v>1001</v>
      </c>
      <c r="I241" s="130">
        <v>7001599</v>
      </c>
      <c r="J241" s="130" t="s">
        <v>1002</v>
      </c>
      <c r="K241" s="130">
        <v>17780922623</v>
      </c>
      <c r="L241" s="130" t="s">
        <v>1064</v>
      </c>
      <c r="M241" s="130" t="s">
        <v>1110</v>
      </c>
      <c r="N241" s="130" t="s">
        <v>1065</v>
      </c>
      <c r="O241" s="130"/>
      <c r="P241" s="130" t="s">
        <v>1111</v>
      </c>
      <c r="Q241" s="130">
        <v>18036200722</v>
      </c>
      <c r="R241" s="130" t="s">
        <v>1129</v>
      </c>
      <c r="S241" s="130" t="s">
        <v>1130</v>
      </c>
      <c r="T241" s="130">
        <v>7002080</v>
      </c>
      <c r="U241" s="130" t="s">
        <v>1131</v>
      </c>
      <c r="V241" s="130">
        <v>15397693882</v>
      </c>
      <c r="W241" s="130" t="s">
        <v>1132</v>
      </c>
      <c r="X241" s="130" t="s">
        <v>1130</v>
      </c>
      <c r="Y241" s="130" t="s">
        <v>1133</v>
      </c>
      <c r="Z241" s="130" t="s">
        <v>1134</v>
      </c>
      <c r="AA241" s="128">
        <v>341.61</v>
      </c>
      <c r="AB241" s="128">
        <v>330.45</v>
      </c>
      <c r="AC241" s="128">
        <v>299.2</v>
      </c>
      <c r="AD241" s="128"/>
      <c r="AF241" s="130" t="s">
        <v>1135</v>
      </c>
      <c r="AG241" s="128"/>
      <c r="AH241" s="128"/>
      <c r="AI241" s="128"/>
      <c r="AJ241" s="128"/>
      <c r="AK241" s="128"/>
      <c r="AL241" s="128"/>
      <c r="AM241" s="128"/>
    </row>
    <row r="242" customHeight="1" spans="1:39">
      <c r="A242" s="130" t="s">
        <v>995</v>
      </c>
      <c r="B242" s="130" t="s">
        <v>996</v>
      </c>
      <c r="C242" s="130" t="s">
        <v>997</v>
      </c>
      <c r="D242" s="130" t="s">
        <v>1063</v>
      </c>
      <c r="E242" s="130"/>
      <c r="F242" s="130" t="s">
        <v>999</v>
      </c>
      <c r="G242" s="130" t="s">
        <v>1000</v>
      </c>
      <c r="H242" s="130" t="s">
        <v>1001</v>
      </c>
      <c r="I242" s="130">
        <v>7001599</v>
      </c>
      <c r="J242" s="130" t="s">
        <v>1002</v>
      </c>
      <c r="K242" s="130">
        <v>17780922623</v>
      </c>
      <c r="L242" s="130" t="s">
        <v>1064</v>
      </c>
      <c r="M242" s="130" t="s">
        <v>1110</v>
      </c>
      <c r="N242" s="130" t="s">
        <v>1065</v>
      </c>
      <c r="O242" s="130"/>
      <c r="P242" s="130" t="s">
        <v>1111</v>
      </c>
      <c r="Q242" s="130">
        <v>18036200722</v>
      </c>
      <c r="R242" s="130" t="s">
        <v>1136</v>
      </c>
      <c r="S242" s="130" t="s">
        <v>1137</v>
      </c>
      <c r="T242" s="130">
        <v>7002092</v>
      </c>
      <c r="U242" s="130" t="s">
        <v>1138</v>
      </c>
      <c r="V242" s="130">
        <v>13739472510</v>
      </c>
      <c r="W242" s="130" t="s">
        <v>1139</v>
      </c>
      <c r="X242" s="130" t="s">
        <v>1137</v>
      </c>
      <c r="Y242" s="130" t="s">
        <v>1140</v>
      </c>
      <c r="Z242" s="130" t="s">
        <v>1141</v>
      </c>
      <c r="AA242" s="128">
        <v>385.89</v>
      </c>
      <c r="AB242" s="128">
        <v>381.6</v>
      </c>
      <c r="AC242" s="128">
        <v>366.72</v>
      </c>
      <c r="AD242" s="128"/>
      <c r="AF242" s="130" t="s">
        <v>1142</v>
      </c>
      <c r="AG242" s="128"/>
      <c r="AH242" s="128"/>
      <c r="AI242" s="128"/>
      <c r="AJ242" s="128"/>
      <c r="AK242" s="128"/>
      <c r="AL242" s="128"/>
      <c r="AM242" s="128"/>
    </row>
    <row r="243" customHeight="1" spans="1:39">
      <c r="A243" s="130" t="s">
        <v>995</v>
      </c>
      <c r="B243" s="130" t="s">
        <v>996</v>
      </c>
      <c r="C243" s="130" t="s">
        <v>997</v>
      </c>
      <c r="D243" s="130" t="s">
        <v>1063</v>
      </c>
      <c r="E243" s="130"/>
      <c r="F243" s="130" t="s">
        <v>999</v>
      </c>
      <c r="G243" s="130" t="s">
        <v>1000</v>
      </c>
      <c r="H243" s="130" t="s">
        <v>1001</v>
      </c>
      <c r="I243" s="130">
        <v>7001599</v>
      </c>
      <c r="J243" s="130" t="s">
        <v>1002</v>
      </c>
      <c r="K243" s="130">
        <v>17780922623</v>
      </c>
      <c r="L243" s="130" t="s">
        <v>1064</v>
      </c>
      <c r="M243" s="130" t="s">
        <v>1143</v>
      </c>
      <c r="N243" s="130" t="s">
        <v>1065</v>
      </c>
      <c r="O243" s="130"/>
      <c r="P243" s="130" t="s">
        <v>1144</v>
      </c>
      <c r="Q243" s="130">
        <v>15390178357</v>
      </c>
      <c r="R243" s="130" t="s">
        <v>1145</v>
      </c>
      <c r="S243" s="130" t="s">
        <v>1146</v>
      </c>
      <c r="T243" s="130">
        <v>7002091</v>
      </c>
      <c r="U243" s="130" t="s">
        <v>1147</v>
      </c>
      <c r="V243" s="130">
        <v>15390178357</v>
      </c>
      <c r="W243" s="130" t="s">
        <v>1148</v>
      </c>
      <c r="X243" s="130" t="s">
        <v>1146</v>
      </c>
      <c r="Y243" s="130" t="s">
        <v>1149</v>
      </c>
      <c r="Z243" s="130" t="s">
        <v>1150</v>
      </c>
      <c r="AA243" s="128">
        <v>462.2</v>
      </c>
      <c r="AB243" s="128">
        <v>418.15</v>
      </c>
      <c r="AC243" s="128">
        <v>402.27</v>
      </c>
      <c r="AD243" s="128"/>
      <c r="AF243" s="130" t="s">
        <v>1151</v>
      </c>
      <c r="AG243" s="128"/>
      <c r="AH243" s="128"/>
      <c r="AI243" s="128"/>
      <c r="AJ243" s="128"/>
      <c r="AK243" s="128"/>
      <c r="AL243" s="128"/>
      <c r="AM243" s="128"/>
    </row>
    <row r="244" customHeight="1" spans="1:39">
      <c r="A244" s="130" t="s">
        <v>995</v>
      </c>
      <c r="B244" s="130" t="s">
        <v>996</v>
      </c>
      <c r="C244" s="130" t="s">
        <v>997</v>
      </c>
      <c r="D244" s="130" t="s">
        <v>1063</v>
      </c>
      <c r="E244" s="130"/>
      <c r="F244" s="130" t="s">
        <v>999</v>
      </c>
      <c r="G244" s="130" t="s">
        <v>1000</v>
      </c>
      <c r="H244" s="130" t="s">
        <v>1001</v>
      </c>
      <c r="I244" s="130">
        <v>7001599</v>
      </c>
      <c r="J244" s="130" t="s">
        <v>1002</v>
      </c>
      <c r="K244" s="130">
        <v>17780922623</v>
      </c>
      <c r="L244" s="130" t="s">
        <v>1064</v>
      </c>
      <c r="M244" s="130" t="s">
        <v>1143</v>
      </c>
      <c r="N244" s="130" t="s">
        <v>1065</v>
      </c>
      <c r="O244" s="130"/>
      <c r="P244" s="130" t="s">
        <v>1144</v>
      </c>
      <c r="Q244" s="130">
        <v>15390178357</v>
      </c>
      <c r="R244" s="130" t="s">
        <v>1145</v>
      </c>
      <c r="S244" s="130" t="s">
        <v>1146</v>
      </c>
      <c r="T244" s="130">
        <v>7002091</v>
      </c>
      <c r="U244" s="130" t="s">
        <v>1147</v>
      </c>
      <c r="V244" s="130">
        <v>15390178357</v>
      </c>
      <c r="W244" s="130" t="s">
        <v>1152</v>
      </c>
      <c r="X244" s="130" t="s">
        <v>1130</v>
      </c>
      <c r="Y244" s="130" t="s">
        <v>1153</v>
      </c>
      <c r="Z244" s="130" t="s">
        <v>1154</v>
      </c>
      <c r="AA244" s="128">
        <v>121</v>
      </c>
      <c r="AB244" s="128">
        <v>118.3</v>
      </c>
      <c r="AC244" s="128">
        <v>117.8</v>
      </c>
      <c r="AD244" s="128"/>
      <c r="AF244" s="130" t="s">
        <v>1135</v>
      </c>
      <c r="AG244" s="128"/>
      <c r="AH244" s="128"/>
      <c r="AI244" s="128"/>
      <c r="AJ244" s="128"/>
      <c r="AK244" s="128"/>
      <c r="AL244" s="128"/>
      <c r="AM244" s="128"/>
    </row>
    <row r="245" customHeight="1" spans="1:39">
      <c r="A245" s="130" t="s">
        <v>995</v>
      </c>
      <c r="B245" s="130" t="s">
        <v>996</v>
      </c>
      <c r="C245" s="130" t="s">
        <v>997</v>
      </c>
      <c r="D245" s="130" t="s">
        <v>1063</v>
      </c>
      <c r="E245" s="130"/>
      <c r="F245" s="130" t="s">
        <v>999</v>
      </c>
      <c r="G245" s="130" t="s">
        <v>1000</v>
      </c>
      <c r="H245" s="130" t="s">
        <v>1001</v>
      </c>
      <c r="I245" s="130">
        <v>7001599</v>
      </c>
      <c r="J245" s="130" t="s">
        <v>1002</v>
      </c>
      <c r="K245" s="130">
        <v>17780922623</v>
      </c>
      <c r="L245" s="130" t="s">
        <v>1064</v>
      </c>
      <c r="M245" s="130" t="s">
        <v>1155</v>
      </c>
      <c r="N245" s="130" t="s">
        <v>1065</v>
      </c>
      <c r="O245" s="130"/>
      <c r="P245" s="130" t="s">
        <v>1156</v>
      </c>
      <c r="Q245" s="130">
        <v>13588989990</v>
      </c>
      <c r="R245" s="130" t="s">
        <v>1157</v>
      </c>
      <c r="S245" s="130" t="s">
        <v>1158</v>
      </c>
      <c r="T245" s="130">
        <v>7002875</v>
      </c>
      <c r="U245" s="130" t="s">
        <v>1156</v>
      </c>
      <c r="V245" s="130">
        <v>17796480684</v>
      </c>
      <c r="W245" s="130" t="s">
        <v>1159</v>
      </c>
      <c r="X245" s="130" t="s">
        <v>1071</v>
      </c>
      <c r="Y245" s="130" t="s">
        <v>1160</v>
      </c>
      <c r="Z245" s="130" t="s">
        <v>1161</v>
      </c>
      <c r="AA245" s="128">
        <v>625.08</v>
      </c>
      <c r="AB245" s="128">
        <v>583.86</v>
      </c>
      <c r="AC245" s="128">
        <v>551.74</v>
      </c>
      <c r="AD245" s="128"/>
      <c r="AF245" s="130" t="s">
        <v>1074</v>
      </c>
      <c r="AG245" s="128"/>
      <c r="AH245" s="128"/>
      <c r="AI245" s="128"/>
      <c r="AJ245" s="128"/>
      <c r="AK245" s="128"/>
      <c r="AL245" s="128"/>
      <c r="AM245" s="128"/>
    </row>
    <row r="246" customHeight="1" spans="1:39">
      <c r="A246" s="130" t="s">
        <v>995</v>
      </c>
      <c r="B246" s="130" t="s">
        <v>996</v>
      </c>
      <c r="C246" s="130" t="s">
        <v>997</v>
      </c>
      <c r="D246" s="130" t="s">
        <v>1063</v>
      </c>
      <c r="E246" s="130"/>
      <c r="F246" s="130" t="s">
        <v>999</v>
      </c>
      <c r="G246" s="130" t="s">
        <v>1000</v>
      </c>
      <c r="H246" s="130" t="s">
        <v>1001</v>
      </c>
      <c r="I246" s="130">
        <v>7001599</v>
      </c>
      <c r="J246" s="130" t="s">
        <v>1002</v>
      </c>
      <c r="K246" s="130">
        <v>17780922623</v>
      </c>
      <c r="L246" s="130" t="s">
        <v>1064</v>
      </c>
      <c r="M246" s="130" t="s">
        <v>1155</v>
      </c>
      <c r="N246" s="130" t="s">
        <v>1065</v>
      </c>
      <c r="O246" s="130"/>
      <c r="P246" s="130" t="s">
        <v>1156</v>
      </c>
      <c r="Q246" s="130">
        <v>13588989990</v>
      </c>
      <c r="R246" s="130" t="s">
        <v>1157</v>
      </c>
      <c r="S246" s="130" t="s">
        <v>1158</v>
      </c>
      <c r="T246" s="130">
        <v>7002875</v>
      </c>
      <c r="U246" s="130" t="s">
        <v>1156</v>
      </c>
      <c r="V246" s="130">
        <v>17796480684</v>
      </c>
      <c r="W246" s="130" t="s">
        <v>1159</v>
      </c>
      <c r="X246" s="130" t="s">
        <v>1071</v>
      </c>
      <c r="Y246" s="130" t="s">
        <v>1162</v>
      </c>
      <c r="Z246" s="130" t="s">
        <v>1163</v>
      </c>
      <c r="AA246" s="128">
        <v>33.33</v>
      </c>
      <c r="AB246" s="128">
        <v>27.6</v>
      </c>
      <c r="AC246" s="128">
        <v>19.67</v>
      </c>
      <c r="AD246" s="128"/>
      <c r="AF246" s="130" t="s">
        <v>1164</v>
      </c>
      <c r="AG246" s="128"/>
      <c r="AH246" s="128"/>
      <c r="AI246" s="128"/>
      <c r="AJ246" s="128"/>
      <c r="AK246" s="128"/>
      <c r="AL246" s="128"/>
      <c r="AM246" s="128"/>
    </row>
    <row r="247" customHeight="1" spans="1:39">
      <c r="A247" s="130" t="s">
        <v>995</v>
      </c>
      <c r="B247" s="130" t="s">
        <v>996</v>
      </c>
      <c r="C247" s="130" t="s">
        <v>997</v>
      </c>
      <c r="D247" s="130" t="s">
        <v>1063</v>
      </c>
      <c r="E247" s="130"/>
      <c r="F247" s="130" t="s">
        <v>999</v>
      </c>
      <c r="G247" s="130" t="s">
        <v>1000</v>
      </c>
      <c r="H247" s="130" t="s">
        <v>1001</v>
      </c>
      <c r="I247" s="130">
        <v>7001599</v>
      </c>
      <c r="J247" s="130" t="s">
        <v>1002</v>
      </c>
      <c r="K247" s="130">
        <v>17780922623</v>
      </c>
      <c r="L247" s="130" t="s">
        <v>1064</v>
      </c>
      <c r="M247" s="130" t="s">
        <v>1155</v>
      </c>
      <c r="N247" s="130" t="s">
        <v>1065</v>
      </c>
      <c r="O247" s="130"/>
      <c r="P247" s="130" t="s">
        <v>1156</v>
      </c>
      <c r="Q247" s="130">
        <v>13588989990</v>
      </c>
      <c r="R247" s="130" t="s">
        <v>1157</v>
      </c>
      <c r="S247" s="130" t="s">
        <v>1158</v>
      </c>
      <c r="T247" s="130">
        <v>7002875</v>
      </c>
      <c r="U247" s="130" t="s">
        <v>1156</v>
      </c>
      <c r="V247" s="130">
        <v>17796480684</v>
      </c>
      <c r="W247" s="130" t="s">
        <v>1165</v>
      </c>
      <c r="X247" s="130" t="s">
        <v>1166</v>
      </c>
      <c r="Y247" s="130" t="s">
        <v>1167</v>
      </c>
      <c r="Z247" s="130" t="s">
        <v>1168</v>
      </c>
      <c r="AA247" s="128">
        <v>457.33</v>
      </c>
      <c r="AB247" s="128">
        <v>441.14</v>
      </c>
      <c r="AC247" s="128">
        <v>404.8</v>
      </c>
      <c r="AD247" s="128"/>
      <c r="AF247" s="130" t="s">
        <v>1169</v>
      </c>
      <c r="AG247" s="128"/>
      <c r="AH247" s="128"/>
      <c r="AI247" s="128"/>
      <c r="AJ247" s="128"/>
      <c r="AK247" s="128"/>
      <c r="AL247" s="128"/>
      <c r="AM247" s="128"/>
    </row>
    <row r="248" customHeight="1" spans="1:39">
      <c r="A248" s="130" t="s">
        <v>995</v>
      </c>
      <c r="B248" s="130" t="s">
        <v>996</v>
      </c>
      <c r="C248" s="130" t="s">
        <v>997</v>
      </c>
      <c r="D248" s="130" t="s">
        <v>1063</v>
      </c>
      <c r="E248" s="130"/>
      <c r="F248" s="130" t="s">
        <v>999</v>
      </c>
      <c r="G248" s="130" t="s">
        <v>1000</v>
      </c>
      <c r="H248" s="130" t="s">
        <v>1001</v>
      </c>
      <c r="I248" s="130">
        <v>7001599</v>
      </c>
      <c r="J248" s="130" t="s">
        <v>1002</v>
      </c>
      <c r="K248" s="130">
        <v>17780922623</v>
      </c>
      <c r="L248" s="130" t="s">
        <v>1064</v>
      </c>
      <c r="M248" s="130" t="s">
        <v>1170</v>
      </c>
      <c r="N248" s="130" t="s">
        <v>1065</v>
      </c>
      <c r="O248" s="130"/>
      <c r="P248" s="130" t="s">
        <v>1171</v>
      </c>
      <c r="Q248" s="130">
        <v>13216333231</v>
      </c>
      <c r="R248" s="130" t="s">
        <v>1172</v>
      </c>
      <c r="S248" s="130" t="s">
        <v>1173</v>
      </c>
      <c r="T248" s="130">
        <v>7002082</v>
      </c>
      <c r="U248" s="130" t="s">
        <v>1174</v>
      </c>
      <c r="V248" s="130">
        <v>18582729769</v>
      </c>
      <c r="W248" s="130" t="s">
        <v>1175</v>
      </c>
      <c r="X248" s="130" t="s">
        <v>1173</v>
      </c>
      <c r="Y248" s="130" t="s">
        <v>1176</v>
      </c>
      <c r="Z248" s="130" t="s">
        <v>1177</v>
      </c>
      <c r="AA248" s="128">
        <v>225.71</v>
      </c>
      <c r="AB248" s="128">
        <v>217.63</v>
      </c>
      <c r="AC248" s="128">
        <v>214.09</v>
      </c>
      <c r="AD248" s="128"/>
      <c r="AF248" s="130" t="s">
        <v>1178</v>
      </c>
      <c r="AG248" s="128"/>
      <c r="AH248" s="128"/>
      <c r="AI248" s="128"/>
      <c r="AJ248" s="128"/>
      <c r="AK248" s="128"/>
      <c r="AL248" s="128"/>
      <c r="AM248" s="128"/>
    </row>
    <row r="249" customHeight="1" spans="1:39">
      <c r="A249" s="130" t="s">
        <v>995</v>
      </c>
      <c r="B249" s="130" t="s">
        <v>996</v>
      </c>
      <c r="C249" s="130" t="s">
        <v>997</v>
      </c>
      <c r="D249" s="130" t="s">
        <v>1063</v>
      </c>
      <c r="E249" s="130"/>
      <c r="F249" s="130" t="s">
        <v>999</v>
      </c>
      <c r="G249" s="130" t="s">
        <v>1000</v>
      </c>
      <c r="H249" s="130" t="s">
        <v>1001</v>
      </c>
      <c r="I249" s="130">
        <v>7001599</v>
      </c>
      <c r="J249" s="130" t="s">
        <v>1002</v>
      </c>
      <c r="K249" s="130">
        <v>17780922623</v>
      </c>
      <c r="L249" s="130" t="s">
        <v>1064</v>
      </c>
      <c r="M249" s="130" t="s">
        <v>1170</v>
      </c>
      <c r="N249" s="130" t="s">
        <v>1065</v>
      </c>
      <c r="O249" s="130"/>
      <c r="P249" s="130" t="s">
        <v>1171</v>
      </c>
      <c r="Q249" s="130">
        <v>13216333231</v>
      </c>
      <c r="R249" s="130" t="s">
        <v>1172</v>
      </c>
      <c r="S249" s="130" t="s">
        <v>1173</v>
      </c>
      <c r="T249" s="130">
        <v>7002082</v>
      </c>
      <c r="U249" s="130" t="s">
        <v>1174</v>
      </c>
      <c r="V249" s="130">
        <v>18582729769</v>
      </c>
      <c r="W249" s="130" t="s">
        <v>1175</v>
      </c>
      <c r="X249" s="130" t="s">
        <v>1173</v>
      </c>
      <c r="Y249" s="130" t="s">
        <v>1179</v>
      </c>
      <c r="Z249" s="130" t="s">
        <v>1180</v>
      </c>
      <c r="AA249" s="128">
        <v>121.91</v>
      </c>
      <c r="AB249" s="128">
        <v>113.03</v>
      </c>
      <c r="AC249" s="128">
        <v>111.68</v>
      </c>
      <c r="AD249" s="128"/>
      <c r="AF249" s="130" t="s">
        <v>1021</v>
      </c>
      <c r="AG249" s="128"/>
      <c r="AH249" s="128"/>
      <c r="AI249" s="128"/>
      <c r="AJ249" s="128"/>
      <c r="AK249" s="128"/>
      <c r="AL249" s="128"/>
      <c r="AM249" s="128"/>
    </row>
    <row r="250" customHeight="1" spans="1:39">
      <c r="A250" s="130" t="s">
        <v>995</v>
      </c>
      <c r="B250" s="130" t="s">
        <v>996</v>
      </c>
      <c r="C250" s="130" t="s">
        <v>997</v>
      </c>
      <c r="D250" s="130" t="s">
        <v>1063</v>
      </c>
      <c r="E250" s="130"/>
      <c r="F250" s="130" t="s">
        <v>999</v>
      </c>
      <c r="G250" s="130" t="s">
        <v>1000</v>
      </c>
      <c r="H250" s="130" t="s">
        <v>1001</v>
      </c>
      <c r="I250" s="130">
        <v>7001599</v>
      </c>
      <c r="J250" s="130" t="s">
        <v>1002</v>
      </c>
      <c r="K250" s="130">
        <v>17780922623</v>
      </c>
      <c r="L250" s="130" t="s">
        <v>1064</v>
      </c>
      <c r="M250" s="130" t="s">
        <v>1170</v>
      </c>
      <c r="N250" s="130" t="s">
        <v>1065</v>
      </c>
      <c r="O250" s="130"/>
      <c r="P250" s="130" t="s">
        <v>1171</v>
      </c>
      <c r="Q250" s="130">
        <v>13216333231</v>
      </c>
      <c r="R250" s="130" t="s">
        <v>1172</v>
      </c>
      <c r="S250" s="130" t="s">
        <v>1173</v>
      </c>
      <c r="T250" s="130">
        <v>7002082</v>
      </c>
      <c r="U250" s="130" t="s">
        <v>1174</v>
      </c>
      <c r="V250" s="130">
        <v>18582729769</v>
      </c>
      <c r="W250" s="130" t="s">
        <v>1175</v>
      </c>
      <c r="X250" s="130" t="s">
        <v>1173</v>
      </c>
      <c r="Y250" s="130" t="s">
        <v>1181</v>
      </c>
      <c r="Z250" s="130" t="s">
        <v>1182</v>
      </c>
      <c r="AA250" s="128">
        <v>79.15</v>
      </c>
      <c r="AB250" s="128">
        <v>74.97</v>
      </c>
      <c r="AC250" s="128">
        <v>63.9</v>
      </c>
      <c r="AD250" s="128"/>
      <c r="AF250" s="130" t="s">
        <v>1183</v>
      </c>
      <c r="AG250" s="128"/>
      <c r="AH250" s="128"/>
      <c r="AI250" s="128"/>
      <c r="AJ250" s="128"/>
      <c r="AK250" s="128"/>
      <c r="AL250" s="128"/>
      <c r="AM250" s="128"/>
    </row>
    <row r="251" customHeight="1" spans="1:39">
      <c r="A251" s="130" t="s">
        <v>995</v>
      </c>
      <c r="B251" s="130" t="s">
        <v>996</v>
      </c>
      <c r="C251" s="130" t="s">
        <v>997</v>
      </c>
      <c r="D251" s="130" t="s">
        <v>1063</v>
      </c>
      <c r="E251" s="130"/>
      <c r="F251" s="130" t="s">
        <v>999</v>
      </c>
      <c r="G251" s="130" t="s">
        <v>1000</v>
      </c>
      <c r="H251" s="130" t="s">
        <v>1001</v>
      </c>
      <c r="I251" s="130">
        <v>7001599</v>
      </c>
      <c r="J251" s="130" t="s">
        <v>1002</v>
      </c>
      <c r="K251" s="130">
        <v>17780922623</v>
      </c>
      <c r="L251" s="130" t="s">
        <v>1064</v>
      </c>
      <c r="M251" s="130" t="s">
        <v>1170</v>
      </c>
      <c r="N251" s="130" t="s">
        <v>1065</v>
      </c>
      <c r="O251" s="130"/>
      <c r="P251" s="130" t="s">
        <v>1171</v>
      </c>
      <c r="Q251" s="130">
        <v>13216333231</v>
      </c>
      <c r="R251" s="130" t="s">
        <v>1172</v>
      </c>
      <c r="S251" s="130" t="s">
        <v>1173</v>
      </c>
      <c r="T251" s="130">
        <v>7002082</v>
      </c>
      <c r="U251" s="130" t="s">
        <v>1174</v>
      </c>
      <c r="V251" s="130">
        <v>18582729769</v>
      </c>
      <c r="W251" s="130" t="s">
        <v>1175</v>
      </c>
      <c r="X251" s="130" t="s">
        <v>1173</v>
      </c>
      <c r="Y251" s="130" t="s">
        <v>1184</v>
      </c>
      <c r="Z251" s="130" t="s">
        <v>1185</v>
      </c>
      <c r="AA251" s="128">
        <v>131.94</v>
      </c>
      <c r="AB251" s="128">
        <v>68.55</v>
      </c>
      <c r="AC251" s="128">
        <v>66.85</v>
      </c>
      <c r="AD251" s="128"/>
      <c r="AF251" s="130" t="s">
        <v>1055</v>
      </c>
      <c r="AG251" s="128"/>
      <c r="AH251" s="128"/>
      <c r="AI251" s="128"/>
      <c r="AJ251" s="128"/>
      <c r="AK251" s="128"/>
      <c r="AL251" s="128"/>
      <c r="AM251" s="128"/>
    </row>
    <row r="252" customHeight="1" spans="1:39">
      <c r="A252" s="130" t="s">
        <v>995</v>
      </c>
      <c r="B252" s="130" t="s">
        <v>996</v>
      </c>
      <c r="C252" s="130" t="s">
        <v>997</v>
      </c>
      <c r="D252" s="130" t="s">
        <v>1063</v>
      </c>
      <c r="E252" s="130"/>
      <c r="F252" s="130" t="s">
        <v>999</v>
      </c>
      <c r="G252" s="130" t="s">
        <v>1000</v>
      </c>
      <c r="H252" s="130" t="s">
        <v>1001</v>
      </c>
      <c r="I252" s="130">
        <v>7001599</v>
      </c>
      <c r="J252" s="130" t="s">
        <v>1002</v>
      </c>
      <c r="K252" s="130">
        <v>17780922623</v>
      </c>
      <c r="L252" s="130" t="s">
        <v>1064</v>
      </c>
      <c r="M252" s="130" t="s">
        <v>1170</v>
      </c>
      <c r="N252" s="130" t="s">
        <v>1065</v>
      </c>
      <c r="O252" s="130"/>
      <c r="P252" s="130" t="s">
        <v>1171</v>
      </c>
      <c r="Q252" s="130">
        <v>13216333231</v>
      </c>
      <c r="R252" s="130" t="s">
        <v>1172</v>
      </c>
      <c r="S252" s="130" t="s">
        <v>1173</v>
      </c>
      <c r="T252" s="130">
        <v>7002082</v>
      </c>
      <c r="U252" s="130" t="s">
        <v>1174</v>
      </c>
      <c r="V252" s="130">
        <v>18582729769</v>
      </c>
      <c r="W252" s="130" t="s">
        <v>1175</v>
      </c>
      <c r="X252" s="130" t="s">
        <v>1173</v>
      </c>
      <c r="Y252" s="130" t="s">
        <v>1186</v>
      </c>
      <c r="Z252" s="130" t="s">
        <v>1187</v>
      </c>
      <c r="AA252" s="128">
        <v>110.53</v>
      </c>
      <c r="AB252" s="128">
        <v>124.6</v>
      </c>
      <c r="AC252" s="128">
        <v>123.36</v>
      </c>
      <c r="AD252" s="128"/>
      <c r="AF252" s="130" t="s">
        <v>1188</v>
      </c>
      <c r="AG252" s="128"/>
      <c r="AH252" s="128"/>
      <c r="AI252" s="128"/>
      <c r="AJ252" s="128"/>
      <c r="AK252" s="128"/>
      <c r="AL252" s="128"/>
      <c r="AM252" s="128"/>
    </row>
    <row r="253" customHeight="1" spans="1:39">
      <c r="A253" s="130" t="s">
        <v>995</v>
      </c>
      <c r="B253" s="130" t="s">
        <v>996</v>
      </c>
      <c r="C253" s="130" t="s">
        <v>997</v>
      </c>
      <c r="D253" s="130" t="s">
        <v>1189</v>
      </c>
      <c r="E253" s="130"/>
      <c r="F253" s="130" t="s">
        <v>999</v>
      </c>
      <c r="G253" s="130" t="s">
        <v>1000</v>
      </c>
      <c r="H253" s="130" t="s">
        <v>1001</v>
      </c>
      <c r="I253" s="130">
        <v>7001599</v>
      </c>
      <c r="J253" s="130" t="s">
        <v>1002</v>
      </c>
      <c r="K253" s="130">
        <v>17780922623</v>
      </c>
      <c r="L253" s="130" t="s">
        <v>1190</v>
      </c>
      <c r="M253" s="130" t="s">
        <v>1191</v>
      </c>
      <c r="N253" s="130" t="s">
        <v>1192</v>
      </c>
      <c r="O253" s="130"/>
      <c r="P253" s="130" t="s">
        <v>1193</v>
      </c>
      <c r="Q253" s="130">
        <v>15988991188</v>
      </c>
      <c r="R253" s="130" t="s">
        <v>1194</v>
      </c>
      <c r="S253" s="130" t="s">
        <v>1195</v>
      </c>
      <c r="T253" s="130">
        <v>7001915</v>
      </c>
      <c r="U253" s="130" t="s">
        <v>1193</v>
      </c>
      <c r="V253" s="130">
        <v>15988991188</v>
      </c>
      <c r="W253" s="130" t="s">
        <v>1196</v>
      </c>
      <c r="X253" s="130" t="s">
        <v>1195</v>
      </c>
      <c r="Y253" s="130" t="s">
        <v>1197</v>
      </c>
      <c r="Z253" s="130" t="s">
        <v>1198</v>
      </c>
      <c r="AA253" s="128">
        <v>824</v>
      </c>
      <c r="AB253" s="128">
        <v>790.43</v>
      </c>
      <c r="AC253" s="128">
        <v>729.71</v>
      </c>
      <c r="AD253" s="128"/>
      <c r="AF253" s="130" t="s">
        <v>1199</v>
      </c>
      <c r="AG253" s="128"/>
      <c r="AH253" s="128"/>
      <c r="AI253" s="128"/>
      <c r="AJ253" s="128"/>
      <c r="AK253" s="128"/>
      <c r="AL253" s="128"/>
      <c r="AM253" s="128"/>
    </row>
    <row r="254" customHeight="1" spans="1:39">
      <c r="A254" s="130" t="s">
        <v>995</v>
      </c>
      <c r="B254" s="130" t="s">
        <v>996</v>
      </c>
      <c r="C254" s="130" t="s">
        <v>997</v>
      </c>
      <c r="D254" s="130" t="s">
        <v>1189</v>
      </c>
      <c r="E254" s="130"/>
      <c r="F254" s="130" t="s">
        <v>999</v>
      </c>
      <c r="G254" s="130" t="s">
        <v>1000</v>
      </c>
      <c r="H254" s="130" t="s">
        <v>1001</v>
      </c>
      <c r="I254" s="130">
        <v>7001599</v>
      </c>
      <c r="J254" s="130" t="s">
        <v>1002</v>
      </c>
      <c r="K254" s="130">
        <v>17780922623</v>
      </c>
      <c r="L254" s="130" t="s">
        <v>1190</v>
      </c>
      <c r="M254" s="130" t="s">
        <v>1191</v>
      </c>
      <c r="N254" s="130" t="s">
        <v>1192</v>
      </c>
      <c r="O254" s="130"/>
      <c r="P254" s="130" t="s">
        <v>1193</v>
      </c>
      <c r="Q254" s="130">
        <v>15988991188</v>
      </c>
      <c r="R254" s="130" t="s">
        <v>1194</v>
      </c>
      <c r="S254" s="130" t="s">
        <v>1195</v>
      </c>
      <c r="T254" s="130">
        <v>7001915</v>
      </c>
      <c r="U254" s="130" t="s">
        <v>1193</v>
      </c>
      <c r="V254" s="130">
        <v>15988991188</v>
      </c>
      <c r="W254" s="130" t="s">
        <v>1196</v>
      </c>
      <c r="X254" s="130" t="s">
        <v>1195</v>
      </c>
      <c r="Y254" s="130" t="s">
        <v>1200</v>
      </c>
      <c r="Z254" s="130" t="s">
        <v>1201</v>
      </c>
      <c r="AA254" s="128">
        <v>2.86</v>
      </c>
      <c r="AB254" s="128"/>
      <c r="AC254" s="128"/>
      <c r="AD254" s="128"/>
      <c r="AF254" s="130" t="s">
        <v>1202</v>
      </c>
      <c r="AG254" s="128"/>
      <c r="AH254" s="128"/>
      <c r="AI254" s="128"/>
      <c r="AJ254" s="128"/>
      <c r="AK254" s="128"/>
      <c r="AL254" s="128"/>
      <c r="AM254" s="128"/>
    </row>
    <row r="255" customHeight="1" spans="1:39">
      <c r="A255" s="130" t="s">
        <v>995</v>
      </c>
      <c r="B255" s="130" t="s">
        <v>996</v>
      </c>
      <c r="C255" s="130" t="s">
        <v>997</v>
      </c>
      <c r="D255" s="130" t="s">
        <v>1203</v>
      </c>
      <c r="E255" s="130"/>
      <c r="F255" s="130" t="s">
        <v>999</v>
      </c>
      <c r="G255" s="130" t="s">
        <v>1000</v>
      </c>
      <c r="H255" s="130" t="s">
        <v>1001</v>
      </c>
      <c r="I255" s="130">
        <v>7001599</v>
      </c>
      <c r="J255" s="130" t="s">
        <v>1002</v>
      </c>
      <c r="K255" s="130">
        <v>17780922623</v>
      </c>
      <c r="L255" s="130" t="s">
        <v>1204</v>
      </c>
      <c r="M255" s="130" t="s">
        <v>1205</v>
      </c>
      <c r="N255" s="130" t="s">
        <v>1206</v>
      </c>
      <c r="O255" s="130"/>
      <c r="P255" s="130" t="s">
        <v>1207</v>
      </c>
      <c r="Q255" s="130">
        <v>13705869671</v>
      </c>
      <c r="R255" s="130" t="s">
        <v>1208</v>
      </c>
      <c r="S255" s="130" t="s">
        <v>1209</v>
      </c>
      <c r="T255" s="130">
        <v>7001916</v>
      </c>
      <c r="U255" s="130" t="s">
        <v>1207</v>
      </c>
      <c r="V255" s="130">
        <v>13705869671</v>
      </c>
      <c r="W255" s="130" t="s">
        <v>1210</v>
      </c>
      <c r="X255" s="130" t="s">
        <v>1211</v>
      </c>
      <c r="Y255" s="130" t="s">
        <v>1212</v>
      </c>
      <c r="Z255" s="130" t="s">
        <v>1213</v>
      </c>
      <c r="AA255" s="128">
        <v>1472</v>
      </c>
      <c r="AB255" s="128">
        <v>1348.015</v>
      </c>
      <c r="AC255" s="128">
        <v>1195.86</v>
      </c>
      <c r="AD255" s="128"/>
      <c r="AF255" s="130" t="s">
        <v>1214</v>
      </c>
      <c r="AG255" s="128"/>
      <c r="AH255" s="128"/>
      <c r="AI255" s="128"/>
      <c r="AJ255" s="128"/>
      <c r="AK255" s="128"/>
      <c r="AL255" s="128"/>
      <c r="AM255" s="128"/>
    </row>
    <row r="256" customHeight="1" spans="1:39">
      <c r="A256" s="130" t="s">
        <v>995</v>
      </c>
      <c r="B256" s="130" t="s">
        <v>996</v>
      </c>
      <c r="C256" s="130" t="s">
        <v>997</v>
      </c>
      <c r="D256" s="130" t="s">
        <v>1203</v>
      </c>
      <c r="E256" s="130"/>
      <c r="F256" s="130" t="s">
        <v>999</v>
      </c>
      <c r="G256" s="130" t="s">
        <v>1000</v>
      </c>
      <c r="H256" s="130" t="s">
        <v>1001</v>
      </c>
      <c r="I256" s="130">
        <v>7001599</v>
      </c>
      <c r="J256" s="130" t="s">
        <v>1002</v>
      </c>
      <c r="K256" s="130">
        <v>17780922623</v>
      </c>
      <c r="L256" s="130" t="s">
        <v>1204</v>
      </c>
      <c r="M256" s="130" t="s">
        <v>1215</v>
      </c>
      <c r="N256" s="130" t="s">
        <v>1206</v>
      </c>
      <c r="O256" s="130"/>
      <c r="P256" s="130" t="s">
        <v>1216</v>
      </c>
      <c r="Q256" s="130">
        <v>18158658771</v>
      </c>
      <c r="R256" s="130" t="s">
        <v>1217</v>
      </c>
      <c r="S256" s="130" t="s">
        <v>1218</v>
      </c>
      <c r="T256" s="130">
        <v>7002085</v>
      </c>
      <c r="U256" s="130" t="s">
        <v>1219</v>
      </c>
      <c r="V256" s="130">
        <v>13508317483</v>
      </c>
      <c r="W256" s="130" t="s">
        <v>1220</v>
      </c>
      <c r="X256" s="130" t="s">
        <v>1221</v>
      </c>
      <c r="Y256" s="130" t="s">
        <v>1222</v>
      </c>
      <c r="Z256" s="130" t="s">
        <v>1223</v>
      </c>
      <c r="AA256" s="128">
        <v>204.6</v>
      </c>
      <c r="AB256" s="128">
        <v>203.02</v>
      </c>
      <c r="AC256" s="128">
        <v>200.8</v>
      </c>
      <c r="AD256" s="128"/>
      <c r="AF256" s="130" t="s">
        <v>1224</v>
      </c>
      <c r="AG256" s="128"/>
      <c r="AH256" s="128"/>
      <c r="AI256" s="128"/>
      <c r="AJ256" s="128"/>
      <c r="AK256" s="128"/>
      <c r="AL256" s="128"/>
      <c r="AM256" s="128"/>
    </row>
    <row r="257" customHeight="1" spans="1:39">
      <c r="A257" s="130" t="s">
        <v>995</v>
      </c>
      <c r="B257" s="130" t="s">
        <v>996</v>
      </c>
      <c r="C257" s="130" t="s">
        <v>997</v>
      </c>
      <c r="D257" s="130" t="s">
        <v>1203</v>
      </c>
      <c r="E257" s="130"/>
      <c r="F257" s="130" t="s">
        <v>999</v>
      </c>
      <c r="G257" s="130" t="s">
        <v>1000</v>
      </c>
      <c r="H257" s="130" t="s">
        <v>1001</v>
      </c>
      <c r="I257" s="130">
        <v>7001599</v>
      </c>
      <c r="J257" s="130" t="s">
        <v>1002</v>
      </c>
      <c r="K257" s="130">
        <v>17780922623</v>
      </c>
      <c r="L257" s="130" t="s">
        <v>1204</v>
      </c>
      <c r="M257" s="130" t="s">
        <v>1215</v>
      </c>
      <c r="N257" s="130" t="s">
        <v>1206</v>
      </c>
      <c r="O257" s="130"/>
      <c r="P257" s="130" t="s">
        <v>1216</v>
      </c>
      <c r="Q257" s="130">
        <v>18158658771</v>
      </c>
      <c r="R257" s="130" t="s">
        <v>1217</v>
      </c>
      <c r="S257" s="130" t="s">
        <v>1218</v>
      </c>
      <c r="T257" s="130">
        <v>7002085</v>
      </c>
      <c r="U257" s="130" t="s">
        <v>1219</v>
      </c>
      <c r="V257" s="130">
        <v>13508317483</v>
      </c>
      <c r="W257" s="130" t="s">
        <v>1225</v>
      </c>
      <c r="X257" s="130" t="s">
        <v>1226</v>
      </c>
      <c r="Y257" s="130" t="s">
        <v>1227</v>
      </c>
      <c r="Z257" s="130" t="s">
        <v>1228</v>
      </c>
      <c r="AA257" s="128">
        <v>44.01</v>
      </c>
      <c r="AB257" s="128">
        <v>42.46</v>
      </c>
      <c r="AC257" s="128">
        <v>40.5</v>
      </c>
      <c r="AD257" s="128"/>
      <c r="AF257" s="130" t="s">
        <v>1229</v>
      </c>
      <c r="AG257" s="128"/>
      <c r="AH257" s="128"/>
      <c r="AI257" s="128"/>
      <c r="AJ257" s="128"/>
      <c r="AK257" s="128"/>
      <c r="AL257" s="128"/>
      <c r="AM257" s="128"/>
    </row>
    <row r="258" customHeight="1" spans="1:39">
      <c r="A258" s="130" t="s">
        <v>995</v>
      </c>
      <c r="B258" s="130" t="s">
        <v>996</v>
      </c>
      <c r="C258" s="130" t="s">
        <v>997</v>
      </c>
      <c r="D258" s="130" t="s">
        <v>1230</v>
      </c>
      <c r="E258" s="130"/>
      <c r="F258" s="130" t="s">
        <v>999</v>
      </c>
      <c r="G258" s="130" t="s">
        <v>1000</v>
      </c>
      <c r="H258" s="130" t="s">
        <v>1001</v>
      </c>
      <c r="I258" s="130">
        <v>7001599</v>
      </c>
      <c r="J258" s="130" t="s">
        <v>1002</v>
      </c>
      <c r="K258" s="130">
        <v>17780922623</v>
      </c>
      <c r="L258" s="130" t="s">
        <v>1231</v>
      </c>
      <c r="M258" s="130" t="s">
        <v>1215</v>
      </c>
      <c r="N258" s="130" t="s">
        <v>1232</v>
      </c>
      <c r="O258" s="130"/>
      <c r="P258" s="130" t="s">
        <v>1216</v>
      </c>
      <c r="Q258" s="130">
        <v>18158658771</v>
      </c>
      <c r="R258" s="130" t="s">
        <v>1233</v>
      </c>
      <c r="S258" s="130" t="s">
        <v>1234</v>
      </c>
      <c r="T258" s="130">
        <v>7002074</v>
      </c>
      <c r="U258" s="130" t="s">
        <v>1235</v>
      </c>
      <c r="V258" s="130">
        <v>18158658771</v>
      </c>
      <c r="W258" s="130" t="s">
        <v>1236</v>
      </c>
      <c r="X258" s="130" t="s">
        <v>1237</v>
      </c>
      <c r="Y258" s="130" t="s">
        <v>1238</v>
      </c>
      <c r="Z258" s="130" t="s">
        <v>1239</v>
      </c>
      <c r="AA258" s="131">
        <v>286.72</v>
      </c>
      <c r="AB258" s="131">
        <v>294.4</v>
      </c>
      <c r="AC258" s="131">
        <v>288.47</v>
      </c>
      <c r="AD258" s="131" t="s">
        <v>1240</v>
      </c>
      <c r="AF258" s="130" t="s">
        <v>1241</v>
      </c>
      <c r="AG258" s="131"/>
      <c r="AH258" s="131"/>
      <c r="AI258" s="131"/>
      <c r="AJ258" s="131"/>
      <c r="AK258" s="131"/>
      <c r="AL258" s="131"/>
      <c r="AM258" s="131"/>
    </row>
    <row r="259" customHeight="1" spans="1:39">
      <c r="A259" s="130" t="s">
        <v>995</v>
      </c>
      <c r="B259" s="130" t="s">
        <v>996</v>
      </c>
      <c r="C259" s="130" t="s">
        <v>997</v>
      </c>
      <c r="D259" s="130" t="s">
        <v>1230</v>
      </c>
      <c r="E259" s="130"/>
      <c r="F259" s="130" t="s">
        <v>999</v>
      </c>
      <c r="G259" s="130" t="s">
        <v>1000</v>
      </c>
      <c r="H259" s="130" t="s">
        <v>1001</v>
      </c>
      <c r="I259" s="130">
        <v>7001599</v>
      </c>
      <c r="J259" s="130" t="s">
        <v>1002</v>
      </c>
      <c r="K259" s="130">
        <v>17780922623</v>
      </c>
      <c r="L259" s="130" t="s">
        <v>1231</v>
      </c>
      <c r="M259" s="130" t="s">
        <v>1215</v>
      </c>
      <c r="N259" s="130" t="s">
        <v>1232</v>
      </c>
      <c r="O259" s="130"/>
      <c r="P259" s="130" t="s">
        <v>1216</v>
      </c>
      <c r="Q259" s="130">
        <v>18158658771</v>
      </c>
      <c r="R259" s="130" t="s">
        <v>1233</v>
      </c>
      <c r="S259" s="130" t="s">
        <v>1234</v>
      </c>
      <c r="T259" s="130">
        <v>7002074</v>
      </c>
      <c r="U259" s="130" t="s">
        <v>1235</v>
      </c>
      <c r="V259" s="130">
        <v>18158658771</v>
      </c>
      <c r="W259" s="130" t="s">
        <v>1242</v>
      </c>
      <c r="X259" s="130" t="s">
        <v>1243</v>
      </c>
      <c r="Y259" s="130" t="s">
        <v>1244</v>
      </c>
      <c r="Z259" s="130" t="s">
        <v>1245</v>
      </c>
      <c r="AA259" s="131">
        <v>326.01</v>
      </c>
      <c r="AB259" s="131">
        <v>270.16</v>
      </c>
      <c r="AC259" s="131">
        <v>253.52</v>
      </c>
      <c r="AD259" s="131" t="s">
        <v>1246</v>
      </c>
      <c r="AF259" s="130" t="s">
        <v>1247</v>
      </c>
      <c r="AG259" s="131"/>
      <c r="AH259" s="131"/>
      <c r="AI259" s="131"/>
      <c r="AJ259" s="131"/>
      <c r="AK259" s="131"/>
      <c r="AL259" s="131"/>
      <c r="AM259" s="131"/>
    </row>
    <row r="260" customHeight="1" spans="1:39">
      <c r="A260" s="130" t="s">
        <v>995</v>
      </c>
      <c r="B260" s="130" t="s">
        <v>996</v>
      </c>
      <c r="C260" s="130" t="s">
        <v>997</v>
      </c>
      <c r="D260" s="130" t="s">
        <v>1248</v>
      </c>
      <c r="E260" s="130"/>
      <c r="F260" s="130" t="s">
        <v>999</v>
      </c>
      <c r="G260" s="130" t="s">
        <v>1000</v>
      </c>
      <c r="H260" s="130" t="s">
        <v>1001</v>
      </c>
      <c r="I260" s="130">
        <v>7001599</v>
      </c>
      <c r="J260" s="130" t="s">
        <v>1002</v>
      </c>
      <c r="K260" s="130">
        <v>17780922623</v>
      </c>
      <c r="L260" s="130" t="s">
        <v>1249</v>
      </c>
      <c r="M260" s="130" t="s">
        <v>1215</v>
      </c>
      <c r="N260" s="130" t="s">
        <v>1250</v>
      </c>
      <c r="O260" s="130"/>
      <c r="P260" s="130" t="s">
        <v>1216</v>
      </c>
      <c r="Q260" s="130">
        <v>18158658771</v>
      </c>
      <c r="R260" s="130" t="s">
        <v>1251</v>
      </c>
      <c r="S260" s="130" t="s">
        <v>1252</v>
      </c>
      <c r="T260" s="130">
        <v>7002075</v>
      </c>
      <c r="U260" s="130" t="s">
        <v>1253</v>
      </c>
      <c r="V260" s="130">
        <v>13207467929</v>
      </c>
      <c r="W260" s="130" t="s">
        <v>1254</v>
      </c>
      <c r="X260" s="130" t="s">
        <v>1255</v>
      </c>
      <c r="Y260" s="130" t="s">
        <v>1256</v>
      </c>
      <c r="Z260" s="130" t="s">
        <v>1257</v>
      </c>
      <c r="AA260" s="128">
        <v>525.96</v>
      </c>
      <c r="AB260" s="128">
        <v>521.1</v>
      </c>
      <c r="AC260" s="128">
        <v>499.25</v>
      </c>
      <c r="AD260" s="128"/>
      <c r="AF260" s="130" t="s">
        <v>1258</v>
      </c>
      <c r="AG260" s="128"/>
      <c r="AH260" s="128"/>
      <c r="AI260" s="128"/>
      <c r="AJ260" s="128"/>
      <c r="AK260" s="128"/>
      <c r="AL260" s="128"/>
      <c r="AM260" s="128"/>
    </row>
    <row r="261" customHeight="1" spans="1:39">
      <c r="A261" s="130" t="s">
        <v>995</v>
      </c>
      <c r="B261" s="130" t="s">
        <v>996</v>
      </c>
      <c r="C261" s="130" t="s">
        <v>997</v>
      </c>
      <c r="D261" s="130" t="s">
        <v>1248</v>
      </c>
      <c r="E261" s="130"/>
      <c r="F261" s="130" t="s">
        <v>999</v>
      </c>
      <c r="G261" s="130" t="s">
        <v>1000</v>
      </c>
      <c r="H261" s="130" t="s">
        <v>1001</v>
      </c>
      <c r="I261" s="130">
        <v>7001599</v>
      </c>
      <c r="J261" s="130" t="s">
        <v>1002</v>
      </c>
      <c r="K261" s="130">
        <v>17780922623</v>
      </c>
      <c r="L261" s="130" t="s">
        <v>1249</v>
      </c>
      <c r="M261" s="130" t="s">
        <v>1004</v>
      </c>
      <c r="N261" s="130" t="s">
        <v>1250</v>
      </c>
      <c r="O261" s="130"/>
      <c r="P261" s="130" t="s">
        <v>1259</v>
      </c>
      <c r="Q261" s="130">
        <v>18982618354</v>
      </c>
      <c r="R261" s="130" t="s">
        <v>1260</v>
      </c>
      <c r="S261" s="130" t="s">
        <v>1261</v>
      </c>
      <c r="T261" s="130">
        <v>7002738</v>
      </c>
      <c r="U261" s="130" t="s">
        <v>1259</v>
      </c>
      <c r="V261" s="130">
        <v>18982618354</v>
      </c>
      <c r="W261" s="130" t="s">
        <v>1262</v>
      </c>
      <c r="X261" s="130" t="s">
        <v>1261</v>
      </c>
      <c r="Y261" s="130" t="s">
        <v>1263</v>
      </c>
      <c r="Z261" s="130" t="s">
        <v>1264</v>
      </c>
      <c r="AA261" s="128">
        <v>214.93</v>
      </c>
      <c r="AB261" s="128">
        <v>174.39</v>
      </c>
      <c r="AC261" s="128">
        <v>172.34</v>
      </c>
      <c r="AD261" s="128"/>
      <c r="AF261" s="130" t="s">
        <v>1265</v>
      </c>
      <c r="AG261" s="128"/>
      <c r="AH261" s="128"/>
      <c r="AI261" s="128"/>
      <c r="AJ261" s="128"/>
      <c r="AK261" s="128"/>
      <c r="AL261" s="128"/>
      <c r="AM261" s="128"/>
    </row>
    <row r="262" customHeight="1" spans="1:39">
      <c r="A262" s="130" t="s">
        <v>995</v>
      </c>
      <c r="B262" s="130" t="s">
        <v>996</v>
      </c>
      <c r="C262" s="130" t="s">
        <v>997</v>
      </c>
      <c r="D262" s="130" t="s">
        <v>1266</v>
      </c>
      <c r="E262" s="130"/>
      <c r="F262" s="130" t="s">
        <v>999</v>
      </c>
      <c r="G262" s="130" t="s">
        <v>1000</v>
      </c>
      <c r="H262" s="130" t="s">
        <v>1001</v>
      </c>
      <c r="I262" s="130">
        <v>7001599</v>
      </c>
      <c r="J262" s="130" t="s">
        <v>1002</v>
      </c>
      <c r="K262" s="130">
        <v>17780922623</v>
      </c>
      <c r="L262" s="130" t="s">
        <v>1267</v>
      </c>
      <c r="M262" s="130" t="s">
        <v>1268</v>
      </c>
      <c r="N262" s="130" t="s">
        <v>1269</v>
      </c>
      <c r="O262" s="130"/>
      <c r="P262" s="130" t="s">
        <v>1216</v>
      </c>
      <c r="Q262" s="130">
        <v>18158658771</v>
      </c>
      <c r="R262" s="130" t="s">
        <v>1270</v>
      </c>
      <c r="S262" s="130" t="s">
        <v>1271</v>
      </c>
      <c r="T262" s="130">
        <v>7002202</v>
      </c>
      <c r="U262" s="130" t="s">
        <v>1272</v>
      </c>
      <c r="V262" s="130">
        <v>18244708140</v>
      </c>
      <c r="W262" s="130" t="s">
        <v>1273</v>
      </c>
      <c r="X262" s="130" t="s">
        <v>1271</v>
      </c>
      <c r="Y262" s="130" t="s">
        <v>1274</v>
      </c>
      <c r="Z262" s="130" t="s">
        <v>1275</v>
      </c>
      <c r="AA262" s="128">
        <v>681</v>
      </c>
      <c r="AB262" s="128">
        <v>586.41</v>
      </c>
      <c r="AC262" s="128">
        <v>535.77</v>
      </c>
      <c r="AD262" s="128"/>
      <c r="AF262" s="130" t="s">
        <v>1276</v>
      </c>
      <c r="AG262" s="128"/>
      <c r="AH262" s="128"/>
      <c r="AI262" s="128"/>
      <c r="AJ262" s="128"/>
      <c r="AK262" s="128"/>
      <c r="AL262" s="128"/>
      <c r="AM262" s="128"/>
    </row>
    <row r="263" customHeight="1" spans="1:39">
      <c r="A263" s="130" t="s">
        <v>995</v>
      </c>
      <c r="B263" s="130" t="s">
        <v>996</v>
      </c>
      <c r="C263" s="130" t="s">
        <v>997</v>
      </c>
      <c r="D263" s="130" t="s">
        <v>1266</v>
      </c>
      <c r="E263" s="130"/>
      <c r="F263" s="130" t="s">
        <v>999</v>
      </c>
      <c r="G263" s="130" t="s">
        <v>1000</v>
      </c>
      <c r="H263" s="130" t="s">
        <v>1001</v>
      </c>
      <c r="I263" s="130">
        <v>7001599</v>
      </c>
      <c r="J263" s="130" t="s">
        <v>1002</v>
      </c>
      <c r="K263" s="130">
        <v>17780922623</v>
      </c>
      <c r="L263" s="130" t="s">
        <v>1267</v>
      </c>
      <c r="M263" s="130" t="s">
        <v>1268</v>
      </c>
      <c r="N263" s="130" t="s">
        <v>1269</v>
      </c>
      <c r="O263" s="130"/>
      <c r="P263" s="130" t="s">
        <v>1216</v>
      </c>
      <c r="Q263" s="130">
        <v>18158658771</v>
      </c>
      <c r="R263" s="130" t="s">
        <v>1277</v>
      </c>
      <c r="S263" s="130" t="s">
        <v>1278</v>
      </c>
      <c r="T263" s="130">
        <v>7002095</v>
      </c>
      <c r="U263" s="130" t="s">
        <v>1279</v>
      </c>
      <c r="V263" s="130">
        <v>18728618942</v>
      </c>
      <c r="W263" s="130" t="s">
        <v>1280</v>
      </c>
      <c r="X263" s="130" t="s">
        <v>1278</v>
      </c>
      <c r="Y263" s="130" t="s">
        <v>1281</v>
      </c>
      <c r="Z263" s="130" t="s">
        <v>1282</v>
      </c>
      <c r="AA263" s="128">
        <v>681</v>
      </c>
      <c r="AB263" s="131">
        <v>645.28</v>
      </c>
      <c r="AC263" s="128">
        <v>553.08</v>
      </c>
      <c r="AD263" s="128" t="s">
        <v>1240</v>
      </c>
      <c r="AF263" s="130" t="s">
        <v>1276</v>
      </c>
      <c r="AG263" s="128"/>
      <c r="AH263" s="128"/>
      <c r="AI263" s="128"/>
      <c r="AJ263" s="128"/>
      <c r="AK263" s="128"/>
      <c r="AL263" s="128"/>
      <c r="AM263" s="128"/>
    </row>
    <row r="264" customHeight="1" spans="1:39">
      <c r="A264" s="130" t="s">
        <v>995</v>
      </c>
      <c r="B264" s="130" t="s">
        <v>996</v>
      </c>
      <c r="C264" s="130" t="s">
        <v>997</v>
      </c>
      <c r="D264" s="130" t="s">
        <v>1266</v>
      </c>
      <c r="E264" s="130"/>
      <c r="F264" s="130" t="s">
        <v>999</v>
      </c>
      <c r="G264" s="130" t="s">
        <v>1000</v>
      </c>
      <c r="H264" s="130" t="s">
        <v>1001</v>
      </c>
      <c r="I264" s="130">
        <v>7001599</v>
      </c>
      <c r="J264" s="130" t="s">
        <v>1002</v>
      </c>
      <c r="K264" s="130">
        <v>17780922623</v>
      </c>
      <c r="L264" s="130" t="s">
        <v>1267</v>
      </c>
      <c r="M264" s="130" t="s">
        <v>1268</v>
      </c>
      <c r="N264" s="130" t="s">
        <v>1269</v>
      </c>
      <c r="O264" s="130"/>
      <c r="P264" s="130" t="s">
        <v>1216</v>
      </c>
      <c r="Q264" s="130">
        <v>18158658771</v>
      </c>
      <c r="R264" s="130" t="s">
        <v>1283</v>
      </c>
      <c r="S264" s="130" t="s">
        <v>1284</v>
      </c>
      <c r="T264" s="130">
        <v>7002097</v>
      </c>
      <c r="U264" s="130" t="s">
        <v>1285</v>
      </c>
      <c r="V264" s="130">
        <v>13807468443</v>
      </c>
      <c r="W264" s="130" t="s">
        <v>1286</v>
      </c>
      <c r="X264" s="130" t="s">
        <v>1284</v>
      </c>
      <c r="Y264" s="130" t="s">
        <v>1287</v>
      </c>
      <c r="Z264" s="130" t="s">
        <v>1288</v>
      </c>
      <c r="AA264" s="128">
        <v>500.27</v>
      </c>
      <c r="AB264" s="131">
        <v>433.31</v>
      </c>
      <c r="AC264" s="128">
        <v>410.51</v>
      </c>
      <c r="AD264" s="128" t="s">
        <v>1240</v>
      </c>
      <c r="AF264" s="130" t="s">
        <v>1276</v>
      </c>
      <c r="AG264" s="128"/>
      <c r="AH264" s="128"/>
      <c r="AI264" s="128"/>
      <c r="AJ264" s="128"/>
      <c r="AK264" s="128"/>
      <c r="AL264" s="128"/>
      <c r="AM264" s="128"/>
    </row>
    <row r="265" customHeight="1" spans="1:39">
      <c r="A265" s="130" t="s">
        <v>995</v>
      </c>
      <c r="B265" s="130" t="s">
        <v>996</v>
      </c>
      <c r="C265" s="130" t="s">
        <v>997</v>
      </c>
      <c r="D265" s="130" t="s">
        <v>1266</v>
      </c>
      <c r="E265" s="130"/>
      <c r="F265" s="130" t="s">
        <v>999</v>
      </c>
      <c r="G265" s="130" t="s">
        <v>1000</v>
      </c>
      <c r="H265" s="130" t="s">
        <v>1001</v>
      </c>
      <c r="I265" s="130">
        <v>7001599</v>
      </c>
      <c r="J265" s="130" t="s">
        <v>1002</v>
      </c>
      <c r="K265" s="130">
        <v>17780922623</v>
      </c>
      <c r="L265" s="130" t="s">
        <v>1267</v>
      </c>
      <c r="M265" s="130" t="s">
        <v>1268</v>
      </c>
      <c r="N265" s="130" t="s">
        <v>1269</v>
      </c>
      <c r="O265" s="130"/>
      <c r="P265" s="130" t="s">
        <v>1216</v>
      </c>
      <c r="Q265" s="130">
        <v>18158658771</v>
      </c>
      <c r="R265" s="130" t="s">
        <v>1289</v>
      </c>
      <c r="S265" s="130" t="s">
        <v>1290</v>
      </c>
      <c r="T265" s="130">
        <v>7002408</v>
      </c>
      <c r="U265" s="130" t="s">
        <v>1291</v>
      </c>
      <c r="V265" s="130">
        <v>18482622844</v>
      </c>
      <c r="W265" s="130" t="s">
        <v>1292</v>
      </c>
      <c r="X265" s="130" t="s">
        <v>1290</v>
      </c>
      <c r="Y265" s="130" t="s">
        <v>1293</v>
      </c>
      <c r="Z265" s="130" t="s">
        <v>1294</v>
      </c>
      <c r="AA265" s="128">
        <v>409.47</v>
      </c>
      <c r="AB265" s="128">
        <v>400.92</v>
      </c>
      <c r="AC265" s="128">
        <v>318.48</v>
      </c>
      <c r="AD265" s="128"/>
      <c r="AF265" s="130" t="s">
        <v>1295</v>
      </c>
      <c r="AG265" s="128"/>
      <c r="AH265" s="128"/>
      <c r="AI265" s="128"/>
      <c r="AJ265" s="128"/>
      <c r="AK265" s="128"/>
      <c r="AL265" s="128"/>
      <c r="AM265" s="128"/>
    </row>
    <row r="266" customHeight="1" spans="1:39">
      <c r="A266" s="130" t="s">
        <v>995</v>
      </c>
      <c r="B266" s="130" t="s">
        <v>996</v>
      </c>
      <c r="C266" s="130" t="s">
        <v>997</v>
      </c>
      <c r="D266" s="130" t="s">
        <v>1266</v>
      </c>
      <c r="E266" s="130"/>
      <c r="F266" s="130" t="s">
        <v>999</v>
      </c>
      <c r="G266" s="130" t="s">
        <v>1000</v>
      </c>
      <c r="H266" s="130" t="s">
        <v>1001</v>
      </c>
      <c r="I266" s="130">
        <v>7001599</v>
      </c>
      <c r="J266" s="130" t="s">
        <v>1002</v>
      </c>
      <c r="K266" s="130">
        <v>17780922623</v>
      </c>
      <c r="L266" s="130" t="s">
        <v>1267</v>
      </c>
      <c r="M266" s="130" t="s">
        <v>1296</v>
      </c>
      <c r="N266" s="130" t="s">
        <v>1269</v>
      </c>
      <c r="O266" s="130"/>
      <c r="P266" s="130" t="s">
        <v>1297</v>
      </c>
      <c r="Q266" s="130">
        <v>18580586609</v>
      </c>
      <c r="R266" s="130" t="s">
        <v>1298</v>
      </c>
      <c r="S266" s="130" t="s">
        <v>1299</v>
      </c>
      <c r="T266" s="130">
        <v>7003090</v>
      </c>
      <c r="U266" s="130" t="s">
        <v>1300</v>
      </c>
      <c r="V266" s="130">
        <v>18921185806</v>
      </c>
      <c r="W266" s="130" t="s">
        <v>1301</v>
      </c>
      <c r="X266" s="130" t="s">
        <v>1299</v>
      </c>
      <c r="Y266" s="130" t="s">
        <v>1302</v>
      </c>
      <c r="Z266" s="130" t="s">
        <v>1303</v>
      </c>
      <c r="AA266" s="128">
        <v>359.46</v>
      </c>
      <c r="AB266" s="128">
        <v>331.6</v>
      </c>
      <c r="AC266" s="128">
        <v>308.21</v>
      </c>
      <c r="AD266" s="128"/>
      <c r="AF266" s="130" t="s">
        <v>1304</v>
      </c>
      <c r="AG266" s="128"/>
      <c r="AH266" s="128"/>
      <c r="AI266" s="128"/>
      <c r="AJ266" s="128"/>
      <c r="AK266" s="128"/>
      <c r="AL266" s="128"/>
      <c r="AM266" s="128"/>
    </row>
    <row r="267" customHeight="1" spans="1:39">
      <c r="A267" s="130" t="s">
        <v>995</v>
      </c>
      <c r="B267" s="130" t="s">
        <v>996</v>
      </c>
      <c r="C267" s="130" t="s">
        <v>997</v>
      </c>
      <c r="D267" s="130" t="s">
        <v>1266</v>
      </c>
      <c r="E267" s="130"/>
      <c r="F267" s="130" t="s">
        <v>999</v>
      </c>
      <c r="G267" s="130" t="s">
        <v>1000</v>
      </c>
      <c r="H267" s="130" t="s">
        <v>1001</v>
      </c>
      <c r="I267" s="130">
        <v>7001599</v>
      </c>
      <c r="J267" s="130" t="s">
        <v>1002</v>
      </c>
      <c r="K267" s="130">
        <v>17780922623</v>
      </c>
      <c r="L267" s="130" t="s">
        <v>1267</v>
      </c>
      <c r="M267" s="130" t="s">
        <v>1296</v>
      </c>
      <c r="N267" s="130" t="s">
        <v>1269</v>
      </c>
      <c r="O267" s="130"/>
      <c r="P267" s="130" t="s">
        <v>1297</v>
      </c>
      <c r="Q267" s="130">
        <v>18580586609</v>
      </c>
      <c r="R267" s="130" t="s">
        <v>1298</v>
      </c>
      <c r="S267" s="130" t="s">
        <v>1299</v>
      </c>
      <c r="T267" s="130">
        <v>7003090</v>
      </c>
      <c r="U267" s="130" t="s">
        <v>1300</v>
      </c>
      <c r="V267" s="130">
        <v>18921185806</v>
      </c>
      <c r="W267" s="130" t="s">
        <v>1305</v>
      </c>
      <c r="X267" s="130" t="s">
        <v>1306</v>
      </c>
      <c r="Y267" s="130" t="s">
        <v>1307</v>
      </c>
      <c r="Z267" s="130" t="s">
        <v>1308</v>
      </c>
      <c r="AA267" s="128">
        <v>127.87</v>
      </c>
      <c r="AB267" s="128">
        <v>125.4</v>
      </c>
      <c r="AC267" s="128">
        <v>116.33</v>
      </c>
      <c r="AD267" s="128"/>
      <c r="AF267" s="130" t="s">
        <v>1309</v>
      </c>
      <c r="AG267" s="128"/>
      <c r="AH267" s="128"/>
      <c r="AI267" s="128"/>
      <c r="AJ267" s="128"/>
      <c r="AK267" s="128"/>
      <c r="AL267" s="128"/>
      <c r="AM267" s="128"/>
    </row>
    <row r="268" customHeight="1" spans="1:39">
      <c r="A268" s="130" t="s">
        <v>995</v>
      </c>
      <c r="B268" s="130" t="s">
        <v>996</v>
      </c>
      <c r="C268" s="130" t="s">
        <v>997</v>
      </c>
      <c r="D268" s="130" t="s">
        <v>1266</v>
      </c>
      <c r="E268" s="130"/>
      <c r="F268" s="130" t="s">
        <v>999</v>
      </c>
      <c r="G268" s="130" t="s">
        <v>1000</v>
      </c>
      <c r="H268" s="130" t="s">
        <v>1001</v>
      </c>
      <c r="I268" s="130">
        <v>7001599</v>
      </c>
      <c r="J268" s="130" t="s">
        <v>1002</v>
      </c>
      <c r="K268" s="130">
        <v>17780922623</v>
      </c>
      <c r="L268" s="130" t="s">
        <v>1267</v>
      </c>
      <c r="M268" s="130" t="s">
        <v>1296</v>
      </c>
      <c r="N268" s="130" t="s">
        <v>1269</v>
      </c>
      <c r="O268" s="130"/>
      <c r="P268" s="130" t="s">
        <v>1297</v>
      </c>
      <c r="Q268" s="130">
        <v>13150063506</v>
      </c>
      <c r="R268" s="130" t="s">
        <v>1310</v>
      </c>
      <c r="S268" s="130" t="s">
        <v>1311</v>
      </c>
      <c r="T268" s="130">
        <v>7003090</v>
      </c>
      <c r="U268" s="130" t="s">
        <v>1300</v>
      </c>
      <c r="V268" s="130">
        <v>18921185806</v>
      </c>
      <c r="W268" s="130" t="s">
        <v>1312</v>
      </c>
      <c r="X268" s="130" t="s">
        <v>1299</v>
      </c>
      <c r="Y268" s="130" t="s">
        <v>1313</v>
      </c>
      <c r="Z268" s="130" t="s">
        <v>1314</v>
      </c>
      <c r="AA268" s="128">
        <v>398.48</v>
      </c>
      <c r="AB268" s="128">
        <v>395.3</v>
      </c>
      <c r="AC268" s="128">
        <v>379.21</v>
      </c>
      <c r="AD268" s="128"/>
      <c r="AF268" s="130" t="s">
        <v>1315</v>
      </c>
      <c r="AG268" s="128"/>
      <c r="AH268" s="128"/>
      <c r="AI268" s="128"/>
      <c r="AJ268" s="128"/>
      <c r="AK268" s="128"/>
      <c r="AL268" s="128"/>
      <c r="AM268" s="128"/>
    </row>
    <row r="269" customHeight="1" spans="1:39">
      <c r="A269" s="130" t="s">
        <v>995</v>
      </c>
      <c r="B269" s="130" t="s">
        <v>996</v>
      </c>
      <c r="C269" s="130" t="s">
        <v>997</v>
      </c>
      <c r="D269" s="130" t="s">
        <v>1266</v>
      </c>
      <c r="E269" s="130"/>
      <c r="F269" s="130" t="s">
        <v>999</v>
      </c>
      <c r="G269" s="130" t="s">
        <v>1000</v>
      </c>
      <c r="H269" s="130" t="s">
        <v>1001</v>
      </c>
      <c r="I269" s="130">
        <v>7001599</v>
      </c>
      <c r="J269" s="130" t="s">
        <v>1002</v>
      </c>
      <c r="K269" s="130">
        <v>17780922623</v>
      </c>
      <c r="L269" s="130" t="s">
        <v>1267</v>
      </c>
      <c r="M269" s="130" t="s">
        <v>1296</v>
      </c>
      <c r="N269" s="130" t="s">
        <v>1269</v>
      </c>
      <c r="O269" s="130"/>
      <c r="P269" s="130" t="s">
        <v>1297</v>
      </c>
      <c r="Q269" s="130">
        <v>18921185806</v>
      </c>
      <c r="R269" s="130" t="s">
        <v>1316</v>
      </c>
      <c r="S269" s="130" t="s">
        <v>1317</v>
      </c>
      <c r="T269" s="130">
        <v>7003285</v>
      </c>
      <c r="U269" s="130" t="s">
        <v>1297</v>
      </c>
      <c r="V269" s="130">
        <v>15348276263</v>
      </c>
      <c r="W269" s="130" t="s">
        <v>1318</v>
      </c>
      <c r="X269" s="130" t="s">
        <v>1317</v>
      </c>
      <c r="Y269" s="130" t="s">
        <v>1319</v>
      </c>
      <c r="Z269" s="130" t="s">
        <v>1320</v>
      </c>
      <c r="AA269" s="128">
        <v>590.1</v>
      </c>
      <c r="AB269" s="128">
        <v>594.32</v>
      </c>
      <c r="AC269" s="128">
        <v>584.46</v>
      </c>
      <c r="AD269" s="128"/>
      <c r="AF269" s="130" t="s">
        <v>1321</v>
      </c>
      <c r="AG269" s="128"/>
      <c r="AH269" s="128"/>
      <c r="AI269" s="128"/>
      <c r="AJ269" s="128"/>
      <c r="AK269" s="128"/>
      <c r="AL269" s="128"/>
      <c r="AM269" s="128"/>
    </row>
    <row r="270" customHeight="1" spans="1:39">
      <c r="A270" s="130" t="s">
        <v>995</v>
      </c>
      <c r="B270" s="130" t="s">
        <v>996</v>
      </c>
      <c r="C270" s="130" t="s">
        <v>997</v>
      </c>
      <c r="D270" s="130" t="s">
        <v>1266</v>
      </c>
      <c r="E270" s="130"/>
      <c r="F270" s="130" t="s">
        <v>999</v>
      </c>
      <c r="G270" s="130" t="s">
        <v>1000</v>
      </c>
      <c r="H270" s="130" t="s">
        <v>1001</v>
      </c>
      <c r="I270" s="130">
        <v>7001599</v>
      </c>
      <c r="J270" s="130" t="s">
        <v>1002</v>
      </c>
      <c r="K270" s="130">
        <v>17780922623</v>
      </c>
      <c r="L270" s="130" t="s">
        <v>1267</v>
      </c>
      <c r="M270" s="130" t="s">
        <v>1296</v>
      </c>
      <c r="N270" s="130" t="s">
        <v>1269</v>
      </c>
      <c r="O270" s="130"/>
      <c r="P270" s="130" t="s">
        <v>1297</v>
      </c>
      <c r="Q270" s="130">
        <v>18921185806</v>
      </c>
      <c r="R270" s="130" t="s">
        <v>1316</v>
      </c>
      <c r="S270" s="130" t="s">
        <v>1317</v>
      </c>
      <c r="T270" s="130">
        <v>7003285</v>
      </c>
      <c r="U270" s="130" t="s">
        <v>1297</v>
      </c>
      <c r="V270" s="130">
        <v>15348276263</v>
      </c>
      <c r="W270" s="130" t="s">
        <v>1318</v>
      </c>
      <c r="X270" s="130" t="s">
        <v>1317</v>
      </c>
      <c r="Y270" s="130" t="s">
        <v>1322</v>
      </c>
      <c r="Z270" s="130" t="s">
        <v>1323</v>
      </c>
      <c r="AA270" s="128">
        <v>2</v>
      </c>
      <c r="AB270" s="128">
        <v>0.08</v>
      </c>
      <c r="AC270" s="128">
        <v>0</v>
      </c>
      <c r="AD270" s="128"/>
      <c r="AF270" s="130" t="s">
        <v>1324</v>
      </c>
      <c r="AG270" s="128"/>
      <c r="AH270" s="128"/>
      <c r="AI270" s="128"/>
      <c r="AJ270" s="128"/>
      <c r="AK270" s="128"/>
      <c r="AL270" s="128"/>
      <c r="AM270" s="128"/>
    </row>
    <row r="271" customHeight="1" spans="1:39">
      <c r="A271" s="130" t="s">
        <v>995</v>
      </c>
      <c r="B271" s="130" t="s">
        <v>996</v>
      </c>
      <c r="C271" s="130" t="s">
        <v>997</v>
      </c>
      <c r="D271" s="130" t="s">
        <v>1325</v>
      </c>
      <c r="E271" s="130"/>
      <c r="F271" s="130" t="s">
        <v>999</v>
      </c>
      <c r="G271" s="130" t="s">
        <v>1000</v>
      </c>
      <c r="H271" s="130" t="s">
        <v>1001</v>
      </c>
      <c r="I271" s="130">
        <v>7001599</v>
      </c>
      <c r="J271" s="130" t="s">
        <v>1002</v>
      </c>
      <c r="K271" s="130">
        <v>17780922623</v>
      </c>
      <c r="L271" s="130" t="s">
        <v>1003</v>
      </c>
      <c r="M271" s="130" t="s">
        <v>1326</v>
      </c>
      <c r="N271" s="130" t="s">
        <v>1005</v>
      </c>
      <c r="O271" s="130"/>
      <c r="P271" s="130" t="s">
        <v>1327</v>
      </c>
      <c r="Q271" s="130">
        <v>17702385059</v>
      </c>
      <c r="R271" s="130" t="s">
        <v>1328</v>
      </c>
      <c r="S271" s="130" t="s">
        <v>1329</v>
      </c>
      <c r="T271" s="130">
        <v>7003007</v>
      </c>
      <c r="U271" s="130" t="s">
        <v>1330</v>
      </c>
      <c r="V271" s="130">
        <v>18580586609</v>
      </c>
      <c r="W271" s="130" t="s">
        <v>1331</v>
      </c>
      <c r="X271" s="130" t="s">
        <v>1329</v>
      </c>
      <c r="Y271" s="130" t="s">
        <v>1332</v>
      </c>
      <c r="Z271" s="130" t="s">
        <v>1333</v>
      </c>
      <c r="AA271" s="128">
        <v>109</v>
      </c>
      <c r="AB271" s="128">
        <v>106.9</v>
      </c>
      <c r="AC271" s="128">
        <v>106.03</v>
      </c>
      <c r="AD271" s="128"/>
      <c r="AF271" s="130" t="s">
        <v>1334</v>
      </c>
      <c r="AG271" s="128"/>
      <c r="AH271" s="128"/>
      <c r="AI271" s="128"/>
      <c r="AJ271" s="128"/>
      <c r="AK271" s="128"/>
      <c r="AL271" s="128"/>
      <c r="AM271" s="128"/>
    </row>
    <row r="272" customHeight="1" spans="1:39">
      <c r="A272" s="130" t="s">
        <v>995</v>
      </c>
      <c r="B272" s="130" t="s">
        <v>996</v>
      </c>
      <c r="C272" s="130" t="s">
        <v>997</v>
      </c>
      <c r="D272" s="130" t="s">
        <v>1325</v>
      </c>
      <c r="E272" s="130"/>
      <c r="F272" s="130" t="s">
        <v>999</v>
      </c>
      <c r="G272" s="130" t="s">
        <v>1000</v>
      </c>
      <c r="H272" s="130" t="s">
        <v>1001</v>
      </c>
      <c r="I272" s="130">
        <v>7001599</v>
      </c>
      <c r="J272" s="130" t="s">
        <v>1002</v>
      </c>
      <c r="K272" s="130">
        <v>17780922623</v>
      </c>
      <c r="L272" s="130" t="s">
        <v>1003</v>
      </c>
      <c r="M272" s="130" t="s">
        <v>1326</v>
      </c>
      <c r="N272" s="130" t="s">
        <v>1005</v>
      </c>
      <c r="O272" s="130"/>
      <c r="P272" s="130" t="s">
        <v>1327</v>
      </c>
      <c r="Q272" s="130">
        <v>17702385059</v>
      </c>
      <c r="R272" s="130" t="s">
        <v>1328</v>
      </c>
      <c r="S272" s="130" t="s">
        <v>1329</v>
      </c>
      <c r="T272" s="130">
        <v>7003007</v>
      </c>
      <c r="U272" s="130" t="s">
        <v>1330</v>
      </c>
      <c r="V272" s="130">
        <v>18580586609</v>
      </c>
      <c r="W272" s="130" t="s">
        <v>1331</v>
      </c>
      <c r="X272" s="130" t="s">
        <v>1329</v>
      </c>
      <c r="Y272" s="130" t="s">
        <v>1335</v>
      </c>
      <c r="Z272" s="130" t="s">
        <v>1336</v>
      </c>
      <c r="AA272" s="128">
        <v>158</v>
      </c>
      <c r="AB272" s="128">
        <v>143.07</v>
      </c>
      <c r="AC272" s="128">
        <v>142.75</v>
      </c>
      <c r="AD272" s="128"/>
      <c r="AF272" s="130" t="s">
        <v>1337</v>
      </c>
      <c r="AG272" s="128"/>
      <c r="AH272" s="128"/>
      <c r="AI272" s="128"/>
      <c r="AJ272" s="128"/>
      <c r="AK272" s="128"/>
      <c r="AL272" s="128"/>
      <c r="AM272" s="128"/>
    </row>
    <row r="273" customHeight="1" spans="1:39">
      <c r="A273" s="130" t="s">
        <v>995</v>
      </c>
      <c r="B273" s="130" t="s">
        <v>996</v>
      </c>
      <c r="C273" s="130" t="s">
        <v>997</v>
      </c>
      <c r="D273" s="130" t="s">
        <v>1325</v>
      </c>
      <c r="E273" s="130"/>
      <c r="F273" s="130" t="s">
        <v>999</v>
      </c>
      <c r="G273" s="130" t="s">
        <v>1000</v>
      </c>
      <c r="H273" s="130" t="s">
        <v>1001</v>
      </c>
      <c r="I273" s="130">
        <v>7001599</v>
      </c>
      <c r="J273" s="130" t="s">
        <v>1002</v>
      </c>
      <c r="K273" s="130">
        <v>17780922623</v>
      </c>
      <c r="L273" s="130" t="s">
        <v>1003</v>
      </c>
      <c r="M273" s="130" t="s">
        <v>1326</v>
      </c>
      <c r="N273" s="130" t="s">
        <v>1005</v>
      </c>
      <c r="O273" s="130"/>
      <c r="P273" s="130" t="s">
        <v>1327</v>
      </c>
      <c r="Q273" s="130">
        <v>17702385059</v>
      </c>
      <c r="R273" s="130" t="s">
        <v>1328</v>
      </c>
      <c r="S273" s="130" t="s">
        <v>1329</v>
      </c>
      <c r="T273" s="130">
        <v>7003007</v>
      </c>
      <c r="U273" s="130" t="s">
        <v>1330</v>
      </c>
      <c r="V273" s="130">
        <v>18580586609</v>
      </c>
      <c r="W273" s="130" t="s">
        <v>1331</v>
      </c>
      <c r="X273" s="130" t="s">
        <v>1329</v>
      </c>
      <c r="Y273" s="130" t="s">
        <v>1338</v>
      </c>
      <c r="Z273" s="130" t="s">
        <v>1339</v>
      </c>
      <c r="AA273" s="128">
        <v>192.98</v>
      </c>
      <c r="AB273" s="128">
        <v>177.97</v>
      </c>
      <c r="AC273" s="128">
        <v>175.52</v>
      </c>
      <c r="AD273" s="128"/>
      <c r="AF273" s="130" t="s">
        <v>1340</v>
      </c>
      <c r="AG273" s="128"/>
      <c r="AH273" s="128"/>
      <c r="AI273" s="128"/>
      <c r="AJ273" s="128"/>
      <c r="AK273" s="128"/>
      <c r="AL273" s="128"/>
      <c r="AM273" s="128"/>
    </row>
    <row r="274" customHeight="1" spans="1:39">
      <c r="A274" s="130" t="s">
        <v>995</v>
      </c>
      <c r="B274" s="130" t="s">
        <v>996</v>
      </c>
      <c r="C274" s="130" t="s">
        <v>997</v>
      </c>
      <c r="D274" s="130" t="s">
        <v>1325</v>
      </c>
      <c r="E274" s="130"/>
      <c r="F274" s="130" t="s">
        <v>999</v>
      </c>
      <c r="G274" s="130" t="s">
        <v>1000</v>
      </c>
      <c r="H274" s="130" t="s">
        <v>1001</v>
      </c>
      <c r="I274" s="130">
        <v>7001599</v>
      </c>
      <c r="J274" s="130" t="s">
        <v>1002</v>
      </c>
      <c r="K274" s="130">
        <v>17780922623</v>
      </c>
      <c r="L274" s="130" t="s">
        <v>1003</v>
      </c>
      <c r="M274" s="130" t="s">
        <v>1326</v>
      </c>
      <c r="N274" s="130" t="s">
        <v>1005</v>
      </c>
      <c r="O274" s="130"/>
      <c r="P274" s="130" t="s">
        <v>1327</v>
      </c>
      <c r="Q274" s="130">
        <v>17702385059</v>
      </c>
      <c r="R274" s="130" t="s">
        <v>1328</v>
      </c>
      <c r="S274" s="130" t="s">
        <v>1329</v>
      </c>
      <c r="T274" s="130">
        <v>7003007</v>
      </c>
      <c r="U274" s="130" t="s">
        <v>1330</v>
      </c>
      <c r="V274" s="130">
        <v>18580586609</v>
      </c>
      <c r="W274" s="130" t="s">
        <v>1331</v>
      </c>
      <c r="X274" s="130" t="s">
        <v>1329</v>
      </c>
      <c r="Y274" s="130" t="s">
        <v>1341</v>
      </c>
      <c r="Z274" s="130" t="s">
        <v>1342</v>
      </c>
      <c r="AA274" s="128">
        <v>1.84</v>
      </c>
      <c r="AB274" s="128">
        <v>1.8</v>
      </c>
      <c r="AC274" s="128">
        <v>1.8</v>
      </c>
      <c r="AD274" s="128"/>
      <c r="AF274" s="130" t="s">
        <v>1343</v>
      </c>
      <c r="AG274" s="128"/>
      <c r="AH274" s="128"/>
      <c r="AI274" s="128"/>
      <c r="AJ274" s="128"/>
      <c r="AK274" s="128"/>
      <c r="AL274" s="128"/>
      <c r="AM274" s="128"/>
    </row>
    <row r="275" customHeight="1" spans="1:39">
      <c r="A275" s="130" t="s">
        <v>995</v>
      </c>
      <c r="B275" s="130" t="s">
        <v>996</v>
      </c>
      <c r="C275" s="130" t="s">
        <v>997</v>
      </c>
      <c r="D275" s="130" t="s">
        <v>1040</v>
      </c>
      <c r="E275" s="130"/>
      <c r="F275" s="130" t="s">
        <v>999</v>
      </c>
      <c r="G275" s="130" t="s">
        <v>1000</v>
      </c>
      <c r="H275" s="130" t="s">
        <v>1001</v>
      </c>
      <c r="I275" s="130">
        <v>7001599</v>
      </c>
      <c r="J275" s="130" t="s">
        <v>1002</v>
      </c>
      <c r="K275" s="130">
        <v>17780922623</v>
      </c>
      <c r="L275" s="130" t="s">
        <v>1041</v>
      </c>
      <c r="M275" s="130" t="s">
        <v>1326</v>
      </c>
      <c r="N275" s="130" t="s">
        <v>1042</v>
      </c>
      <c r="O275" s="130"/>
      <c r="P275" s="130" t="s">
        <v>1327</v>
      </c>
      <c r="Q275" s="130">
        <v>17702385059</v>
      </c>
      <c r="R275" s="130" t="s">
        <v>1344</v>
      </c>
      <c r="S275" s="130" t="s">
        <v>1345</v>
      </c>
      <c r="T275" s="130">
        <v>7002848</v>
      </c>
      <c r="U275" s="130" t="s">
        <v>1327</v>
      </c>
      <c r="V275" s="130">
        <v>17702385059</v>
      </c>
      <c r="W275" s="130" t="s">
        <v>1346</v>
      </c>
      <c r="X275" s="130" t="s">
        <v>1345</v>
      </c>
      <c r="Y275" s="130" t="s">
        <v>1347</v>
      </c>
      <c r="Z275" s="130" t="s">
        <v>1348</v>
      </c>
      <c r="AA275" s="128">
        <v>2.86</v>
      </c>
      <c r="AB275" s="128">
        <v>3.11</v>
      </c>
      <c r="AC275" s="128">
        <v>3.11</v>
      </c>
      <c r="AD275" s="128"/>
      <c r="AF275" s="130" t="s">
        <v>1349</v>
      </c>
      <c r="AG275" s="128"/>
      <c r="AH275" s="128"/>
      <c r="AI275" s="128"/>
      <c r="AJ275" s="128"/>
      <c r="AK275" s="128"/>
      <c r="AL275" s="128"/>
      <c r="AM275" s="128"/>
    </row>
    <row r="276" customHeight="1" spans="1:39">
      <c r="A276" s="130" t="s">
        <v>995</v>
      </c>
      <c r="B276" s="130" t="s">
        <v>996</v>
      </c>
      <c r="C276" s="130" t="s">
        <v>997</v>
      </c>
      <c r="D276" s="130" t="s">
        <v>1040</v>
      </c>
      <c r="E276" s="130"/>
      <c r="F276" s="130" t="s">
        <v>999</v>
      </c>
      <c r="G276" s="130" t="s">
        <v>1000</v>
      </c>
      <c r="H276" s="130" t="s">
        <v>1001</v>
      </c>
      <c r="I276" s="130">
        <v>7001599</v>
      </c>
      <c r="J276" s="130" t="s">
        <v>1002</v>
      </c>
      <c r="K276" s="130">
        <v>17780922623</v>
      </c>
      <c r="L276" s="130" t="s">
        <v>1041</v>
      </c>
      <c r="M276" s="130" t="s">
        <v>1326</v>
      </c>
      <c r="N276" s="130" t="s">
        <v>1042</v>
      </c>
      <c r="O276" s="130"/>
      <c r="P276" s="130" t="s">
        <v>1327</v>
      </c>
      <c r="Q276" s="130">
        <v>17702385059</v>
      </c>
      <c r="R276" s="130" t="s">
        <v>1344</v>
      </c>
      <c r="S276" s="130" t="s">
        <v>1345</v>
      </c>
      <c r="T276" s="130">
        <v>7002848</v>
      </c>
      <c r="U276" s="130" t="s">
        <v>1327</v>
      </c>
      <c r="V276" s="130">
        <v>17702385059</v>
      </c>
      <c r="W276" s="130" t="s">
        <v>1346</v>
      </c>
      <c r="X276" s="130" t="s">
        <v>1345</v>
      </c>
      <c r="Y276" s="130" t="s">
        <v>1350</v>
      </c>
      <c r="Z276" s="130" t="s">
        <v>1351</v>
      </c>
      <c r="AA276" s="128">
        <v>342.78</v>
      </c>
      <c r="AB276" s="128">
        <v>358</v>
      </c>
      <c r="AC276" s="128">
        <v>356.5</v>
      </c>
      <c r="AD276" s="128"/>
      <c r="AF276" s="130" t="s">
        <v>1352</v>
      </c>
      <c r="AG276" s="128"/>
      <c r="AH276" s="128"/>
      <c r="AI276" s="128"/>
      <c r="AJ276" s="128"/>
      <c r="AK276" s="128"/>
      <c r="AL276" s="128"/>
      <c r="AM276" s="128"/>
    </row>
    <row r="277" customHeight="1" spans="1:39">
      <c r="A277" s="130" t="s">
        <v>995</v>
      </c>
      <c r="B277" s="130" t="s">
        <v>996</v>
      </c>
      <c r="C277" s="130" t="s">
        <v>997</v>
      </c>
      <c r="D277" s="130" t="s">
        <v>1040</v>
      </c>
      <c r="E277" s="130"/>
      <c r="F277" s="130" t="s">
        <v>999</v>
      </c>
      <c r="G277" s="130" t="s">
        <v>1000</v>
      </c>
      <c r="H277" s="130" t="s">
        <v>1001</v>
      </c>
      <c r="I277" s="130">
        <v>7001599</v>
      </c>
      <c r="J277" s="130" t="s">
        <v>1002</v>
      </c>
      <c r="K277" s="130">
        <v>17780922623</v>
      </c>
      <c r="L277" s="130" t="s">
        <v>1041</v>
      </c>
      <c r="M277" s="130" t="s">
        <v>1191</v>
      </c>
      <c r="N277" s="130" t="s">
        <v>1042</v>
      </c>
      <c r="O277" s="130"/>
      <c r="P277" s="130" t="s">
        <v>1193</v>
      </c>
      <c r="Q277" s="130">
        <v>15988991188</v>
      </c>
      <c r="R277" s="130" t="s">
        <v>1353</v>
      </c>
      <c r="S277" s="130" t="s">
        <v>1354</v>
      </c>
      <c r="T277" s="130">
        <v>7002087</v>
      </c>
      <c r="U277" s="130" t="s">
        <v>1355</v>
      </c>
      <c r="V277" s="130">
        <v>13350460273</v>
      </c>
      <c r="W277" s="130" t="s">
        <v>1356</v>
      </c>
      <c r="X277" s="130" t="s">
        <v>1354</v>
      </c>
      <c r="Y277" s="130" t="s">
        <v>1357</v>
      </c>
      <c r="Z277" s="130" t="s">
        <v>1358</v>
      </c>
      <c r="AA277" s="128">
        <v>467</v>
      </c>
      <c r="AB277" s="128">
        <v>582.4</v>
      </c>
      <c r="AC277" s="128">
        <v>564.15</v>
      </c>
      <c r="AD277" s="128"/>
      <c r="AF277" s="130" t="s">
        <v>1359</v>
      </c>
      <c r="AG277" s="128"/>
      <c r="AH277" s="128"/>
      <c r="AI277" s="128"/>
      <c r="AJ277" s="128"/>
      <c r="AK277" s="128"/>
      <c r="AL277" s="128"/>
      <c r="AM277" s="128"/>
    </row>
    <row r="278" customHeight="1" spans="1:39">
      <c r="A278" s="130" t="s">
        <v>995</v>
      </c>
      <c r="B278" s="130" t="s">
        <v>996</v>
      </c>
      <c r="C278" s="130" t="s">
        <v>997</v>
      </c>
      <c r="D278" s="130" t="s">
        <v>1040</v>
      </c>
      <c r="E278" s="130"/>
      <c r="F278" s="130" t="s">
        <v>999</v>
      </c>
      <c r="G278" s="130" t="s">
        <v>1000</v>
      </c>
      <c r="H278" s="130" t="s">
        <v>1001</v>
      </c>
      <c r="I278" s="130">
        <v>7001599</v>
      </c>
      <c r="J278" s="130" t="s">
        <v>1002</v>
      </c>
      <c r="K278" s="130">
        <v>17780922623</v>
      </c>
      <c r="L278" s="130" t="s">
        <v>1041</v>
      </c>
      <c r="M278" s="130" t="s">
        <v>1191</v>
      </c>
      <c r="N278" s="130" t="s">
        <v>1042</v>
      </c>
      <c r="O278" s="130"/>
      <c r="P278" s="130" t="s">
        <v>1193</v>
      </c>
      <c r="Q278" s="130">
        <v>15988991188</v>
      </c>
      <c r="R278" s="130" t="s">
        <v>1353</v>
      </c>
      <c r="S278" s="130" t="s">
        <v>1354</v>
      </c>
      <c r="T278" s="130">
        <v>7002087</v>
      </c>
      <c r="U278" s="130" t="s">
        <v>1355</v>
      </c>
      <c r="V278" s="130">
        <v>13350460273</v>
      </c>
      <c r="W278" s="130" t="s">
        <v>1356</v>
      </c>
      <c r="X278" s="130" t="s">
        <v>1354</v>
      </c>
      <c r="Y278" s="130" t="s">
        <v>1360</v>
      </c>
      <c r="Z278" s="130" t="s">
        <v>1361</v>
      </c>
      <c r="AA278" s="128">
        <v>19.2</v>
      </c>
      <c r="AB278" s="128">
        <v>19.2</v>
      </c>
      <c r="AC278" s="128">
        <v>18.65</v>
      </c>
      <c r="AD278" s="128"/>
      <c r="AF278" s="130" t="s">
        <v>1362</v>
      </c>
      <c r="AG278" s="128"/>
      <c r="AH278" s="128"/>
      <c r="AI278" s="128"/>
      <c r="AJ278" s="128"/>
      <c r="AK278" s="128"/>
      <c r="AL278" s="128"/>
      <c r="AM278" s="128"/>
    </row>
    <row r="279" customHeight="1" spans="1:39">
      <c r="A279" s="130" t="s">
        <v>995</v>
      </c>
      <c r="B279" s="130" t="s">
        <v>996</v>
      </c>
      <c r="C279" s="130" t="s">
        <v>997</v>
      </c>
      <c r="D279" s="130" t="s">
        <v>1040</v>
      </c>
      <c r="E279" s="130"/>
      <c r="F279" s="130" t="s">
        <v>999</v>
      </c>
      <c r="G279" s="130" t="s">
        <v>1000</v>
      </c>
      <c r="H279" s="130" t="s">
        <v>1001</v>
      </c>
      <c r="I279" s="130">
        <v>7001599</v>
      </c>
      <c r="J279" s="130" t="s">
        <v>1002</v>
      </c>
      <c r="K279" s="130">
        <v>17780922623</v>
      </c>
      <c r="L279" s="130" t="s">
        <v>1041</v>
      </c>
      <c r="M279" s="130" t="s">
        <v>1363</v>
      </c>
      <c r="N279" s="130" t="s">
        <v>1042</v>
      </c>
      <c r="O279" s="130"/>
      <c r="P279" s="130" t="s">
        <v>1364</v>
      </c>
      <c r="Q279" s="130">
        <v>13401493899</v>
      </c>
      <c r="R279" s="130" t="s">
        <v>1365</v>
      </c>
      <c r="S279" s="130" t="s">
        <v>1366</v>
      </c>
      <c r="T279" s="130">
        <v>7002817</v>
      </c>
      <c r="U279" s="130" t="s">
        <v>1367</v>
      </c>
      <c r="V279" s="130">
        <v>15348280891</v>
      </c>
      <c r="W279" s="130" t="s">
        <v>1368</v>
      </c>
      <c r="X279" s="130" t="s">
        <v>1366</v>
      </c>
      <c r="Y279" s="130" t="s">
        <v>1369</v>
      </c>
      <c r="Z279" s="130" t="s">
        <v>1370</v>
      </c>
      <c r="AA279" s="128">
        <v>1226.9</v>
      </c>
      <c r="AB279" s="128">
        <v>1026.71</v>
      </c>
      <c r="AC279" s="128">
        <v>929.74</v>
      </c>
      <c r="AD279" s="128"/>
      <c r="AF279" s="130" t="s">
        <v>1371</v>
      </c>
      <c r="AG279" s="128"/>
      <c r="AH279" s="128"/>
      <c r="AI279" s="128"/>
      <c r="AJ279" s="128"/>
      <c r="AK279" s="128"/>
      <c r="AL279" s="128"/>
      <c r="AM279" s="128"/>
    </row>
    <row r="280" customHeight="1" spans="1:39">
      <c r="A280" s="130" t="s">
        <v>995</v>
      </c>
      <c r="B280" s="130" t="s">
        <v>996</v>
      </c>
      <c r="C280" s="130" t="s">
        <v>997</v>
      </c>
      <c r="D280" s="130" t="s">
        <v>1040</v>
      </c>
      <c r="E280" s="130"/>
      <c r="F280" s="130" t="s">
        <v>999</v>
      </c>
      <c r="G280" s="130" t="s">
        <v>1000</v>
      </c>
      <c r="H280" s="130" t="s">
        <v>1001</v>
      </c>
      <c r="I280" s="130">
        <v>7001599</v>
      </c>
      <c r="J280" s="130" t="s">
        <v>1002</v>
      </c>
      <c r="K280" s="130">
        <v>17780922623</v>
      </c>
      <c r="L280" s="130" t="s">
        <v>1041</v>
      </c>
      <c r="M280" s="130" t="s">
        <v>1363</v>
      </c>
      <c r="N280" s="130" t="s">
        <v>1042</v>
      </c>
      <c r="O280" s="130"/>
      <c r="P280" s="130" t="s">
        <v>1364</v>
      </c>
      <c r="Q280" s="130">
        <v>13401493899</v>
      </c>
      <c r="R280" s="130" t="s">
        <v>1372</v>
      </c>
      <c r="S280" s="130" t="s">
        <v>1373</v>
      </c>
      <c r="T280" s="130">
        <v>7002090</v>
      </c>
      <c r="U280" s="130" t="s">
        <v>1374</v>
      </c>
      <c r="V280" s="130">
        <v>15223466629</v>
      </c>
      <c r="W280" s="130" t="s">
        <v>1375</v>
      </c>
      <c r="X280" s="130" t="s">
        <v>1373</v>
      </c>
      <c r="Y280" s="130" t="s">
        <v>1376</v>
      </c>
      <c r="Z280" s="130" t="s">
        <v>1377</v>
      </c>
      <c r="AA280" s="128">
        <v>545.61</v>
      </c>
      <c r="AB280" s="128">
        <v>553.25</v>
      </c>
      <c r="AC280" s="128">
        <v>541.78</v>
      </c>
      <c r="AD280" s="128"/>
      <c r="AF280" s="130" t="s">
        <v>1378</v>
      </c>
      <c r="AG280" s="128"/>
      <c r="AH280" s="128"/>
      <c r="AI280" s="128"/>
      <c r="AJ280" s="128"/>
      <c r="AK280" s="128"/>
      <c r="AL280" s="128"/>
      <c r="AM280" s="128"/>
    </row>
    <row r="281" customHeight="1" spans="1:39">
      <c r="A281" s="130" t="s">
        <v>995</v>
      </c>
      <c r="B281" s="130" t="s">
        <v>996</v>
      </c>
      <c r="C281" s="130" t="s">
        <v>997</v>
      </c>
      <c r="D281" s="130" t="s">
        <v>1040</v>
      </c>
      <c r="E281" s="130"/>
      <c r="F281" s="130" t="s">
        <v>999</v>
      </c>
      <c r="G281" s="130" t="s">
        <v>1000</v>
      </c>
      <c r="H281" s="130" t="s">
        <v>1001</v>
      </c>
      <c r="I281" s="130">
        <v>7001599</v>
      </c>
      <c r="J281" s="130" t="s">
        <v>1002</v>
      </c>
      <c r="K281" s="130">
        <v>17780922623</v>
      </c>
      <c r="L281" s="130" t="s">
        <v>1041</v>
      </c>
      <c r="M281" s="130" t="s">
        <v>1363</v>
      </c>
      <c r="N281" s="130" t="s">
        <v>1042</v>
      </c>
      <c r="O281" s="130"/>
      <c r="P281" s="130" t="s">
        <v>1364</v>
      </c>
      <c r="Q281" s="130">
        <v>13401493899</v>
      </c>
      <c r="R281" s="130" t="s">
        <v>1372</v>
      </c>
      <c r="S281" s="130" t="s">
        <v>1373</v>
      </c>
      <c r="T281" s="130">
        <v>7002090</v>
      </c>
      <c r="U281" s="130" t="s">
        <v>1374</v>
      </c>
      <c r="V281" s="130">
        <v>15223466629</v>
      </c>
      <c r="W281" s="130" t="s">
        <v>1375</v>
      </c>
      <c r="X281" s="130" t="s">
        <v>1373</v>
      </c>
      <c r="Y281" s="130" t="s">
        <v>1379</v>
      </c>
      <c r="Z281" s="130" t="s">
        <v>1380</v>
      </c>
      <c r="AA281" s="128">
        <v>80.77</v>
      </c>
      <c r="AB281" s="128">
        <v>101.2</v>
      </c>
      <c r="AC281" s="128">
        <v>99.49</v>
      </c>
      <c r="AD281" s="128"/>
      <c r="AF281" s="130" t="s">
        <v>1381</v>
      </c>
      <c r="AG281" s="128"/>
      <c r="AH281" s="128"/>
      <c r="AI281" s="128"/>
      <c r="AJ281" s="128"/>
      <c r="AK281" s="128"/>
      <c r="AL281" s="128"/>
      <c r="AM281" s="128"/>
    </row>
    <row r="282" customHeight="1" spans="1:39">
      <c r="A282" s="130" t="s">
        <v>995</v>
      </c>
      <c r="B282" s="130" t="s">
        <v>996</v>
      </c>
      <c r="C282" s="130" t="s">
        <v>997</v>
      </c>
      <c r="D282" s="130" t="s">
        <v>1040</v>
      </c>
      <c r="E282" s="130"/>
      <c r="F282" s="130" t="s">
        <v>999</v>
      </c>
      <c r="G282" s="130" t="s">
        <v>1000</v>
      </c>
      <c r="H282" s="130" t="s">
        <v>1001</v>
      </c>
      <c r="I282" s="130">
        <v>7001599</v>
      </c>
      <c r="J282" s="130" t="s">
        <v>1002</v>
      </c>
      <c r="K282" s="130">
        <v>17780922623</v>
      </c>
      <c r="L282" s="130" t="s">
        <v>1041</v>
      </c>
      <c r="M282" s="130" t="s">
        <v>1363</v>
      </c>
      <c r="N282" s="130" t="s">
        <v>1042</v>
      </c>
      <c r="O282" s="130"/>
      <c r="P282" s="130" t="s">
        <v>1364</v>
      </c>
      <c r="Q282" s="130">
        <v>13401493899</v>
      </c>
      <c r="R282" s="130" t="s">
        <v>1372</v>
      </c>
      <c r="S282" s="130" t="s">
        <v>1373</v>
      </c>
      <c r="T282" s="130">
        <v>7002090</v>
      </c>
      <c r="U282" s="130" t="s">
        <v>1374</v>
      </c>
      <c r="V282" s="130">
        <v>15223466629</v>
      </c>
      <c r="W282" s="130" t="s">
        <v>1375</v>
      </c>
      <c r="X282" s="130" t="s">
        <v>1373</v>
      </c>
      <c r="Y282" s="130" t="s">
        <v>1382</v>
      </c>
      <c r="Z282" s="130" t="s">
        <v>1383</v>
      </c>
      <c r="AA282" s="128">
        <v>33.01</v>
      </c>
      <c r="AB282" s="128">
        <v>25</v>
      </c>
      <c r="AC282" s="128">
        <v>25.06</v>
      </c>
      <c r="AD282" s="128"/>
      <c r="AF282" s="130" t="s">
        <v>1384</v>
      </c>
      <c r="AG282" s="128"/>
      <c r="AH282" s="128"/>
      <c r="AI282" s="128"/>
      <c r="AJ282" s="128"/>
      <c r="AK282" s="128"/>
      <c r="AL282" s="128"/>
      <c r="AM282" s="128"/>
    </row>
    <row r="283" customHeight="1" spans="1:39">
      <c r="A283" s="130" t="s">
        <v>995</v>
      </c>
      <c r="B283" s="130" t="s">
        <v>996</v>
      </c>
      <c r="C283" s="130" t="s">
        <v>997</v>
      </c>
      <c r="D283" s="130" t="s">
        <v>1040</v>
      </c>
      <c r="E283" s="130"/>
      <c r="F283" s="130" t="s">
        <v>999</v>
      </c>
      <c r="G283" s="130" t="s">
        <v>1000</v>
      </c>
      <c r="H283" s="130" t="s">
        <v>1001</v>
      </c>
      <c r="I283" s="130">
        <v>7001599</v>
      </c>
      <c r="J283" s="130" t="s">
        <v>1002</v>
      </c>
      <c r="K283" s="130">
        <v>17780922623</v>
      </c>
      <c r="L283" s="130" t="s">
        <v>1041</v>
      </c>
      <c r="M283" s="130" t="s">
        <v>1363</v>
      </c>
      <c r="N283" s="130" t="s">
        <v>1042</v>
      </c>
      <c r="O283" s="130"/>
      <c r="P283" s="130" t="s">
        <v>1364</v>
      </c>
      <c r="Q283" s="130">
        <v>13401493899</v>
      </c>
      <c r="R283" s="130" t="s">
        <v>1372</v>
      </c>
      <c r="S283" s="130" t="s">
        <v>1373</v>
      </c>
      <c r="T283" s="130">
        <v>7002090</v>
      </c>
      <c r="U283" s="130" t="s">
        <v>1374</v>
      </c>
      <c r="V283" s="130">
        <v>15223466629</v>
      </c>
      <c r="W283" s="130" t="s">
        <v>1375</v>
      </c>
      <c r="X283" s="130" t="s">
        <v>1373</v>
      </c>
      <c r="Y283" s="130" t="s">
        <v>1385</v>
      </c>
      <c r="Z283" s="130" t="s">
        <v>1386</v>
      </c>
      <c r="AA283" s="128">
        <v>119.34</v>
      </c>
      <c r="AB283" s="128">
        <v>108.2</v>
      </c>
      <c r="AC283" s="128">
        <v>102.74</v>
      </c>
      <c r="AD283" s="128"/>
      <c r="AF283" s="130" t="s">
        <v>1387</v>
      </c>
      <c r="AG283" s="128"/>
      <c r="AH283" s="128"/>
      <c r="AI283" s="128"/>
      <c r="AJ283" s="128"/>
      <c r="AK283" s="128"/>
      <c r="AL283" s="128"/>
      <c r="AM283" s="128"/>
    </row>
    <row r="284" customHeight="1" spans="1:39">
      <c r="A284" s="130" t="s">
        <v>995</v>
      </c>
      <c r="B284" s="130" t="s">
        <v>996</v>
      </c>
      <c r="C284" s="130" t="s">
        <v>997</v>
      </c>
      <c r="D284" s="130" t="s">
        <v>1388</v>
      </c>
      <c r="E284" s="130"/>
      <c r="F284" s="130" t="s">
        <v>999</v>
      </c>
      <c r="G284" s="130" t="s">
        <v>1000</v>
      </c>
      <c r="H284" s="130" t="s">
        <v>1001</v>
      </c>
      <c r="I284" s="130">
        <v>7001599</v>
      </c>
      <c r="J284" s="130" t="s">
        <v>1002</v>
      </c>
      <c r="K284" s="130">
        <v>17780922623</v>
      </c>
      <c r="L284" s="130" t="s">
        <v>1389</v>
      </c>
      <c r="M284" s="130" t="s">
        <v>1363</v>
      </c>
      <c r="N284" s="130" t="s">
        <v>1390</v>
      </c>
      <c r="O284" s="130"/>
      <c r="P284" s="130" t="s">
        <v>1364</v>
      </c>
      <c r="Q284" s="130">
        <v>13401493899</v>
      </c>
      <c r="R284" s="130" t="s">
        <v>1391</v>
      </c>
      <c r="S284" s="130" t="s">
        <v>1392</v>
      </c>
      <c r="T284" s="130">
        <v>7003286</v>
      </c>
      <c r="U284" s="130" t="s">
        <v>1393</v>
      </c>
      <c r="V284" s="130">
        <v>13508284663</v>
      </c>
      <c r="W284" s="130" t="s">
        <v>1394</v>
      </c>
      <c r="X284" s="130" t="s">
        <v>1392</v>
      </c>
      <c r="Y284" s="130" t="s">
        <v>1395</v>
      </c>
      <c r="Z284" s="130" t="s">
        <v>1396</v>
      </c>
      <c r="AA284" s="128">
        <v>871.22</v>
      </c>
      <c r="AB284" s="128">
        <v>871.41</v>
      </c>
      <c r="AC284" s="128">
        <v>845.55</v>
      </c>
      <c r="AD284" s="128"/>
      <c r="AF284" s="130" t="s">
        <v>1397</v>
      </c>
      <c r="AG284" s="128"/>
      <c r="AH284" s="128"/>
      <c r="AI284" s="128"/>
      <c r="AJ284" s="128"/>
      <c r="AK284" s="128"/>
      <c r="AL284" s="128"/>
      <c r="AM284" s="128"/>
    </row>
    <row r="285" customHeight="1" spans="1:39">
      <c r="A285" s="130" t="s">
        <v>995</v>
      </c>
      <c r="B285" s="130" t="s">
        <v>996</v>
      </c>
      <c r="C285" s="130" t="s">
        <v>997</v>
      </c>
      <c r="D285" s="130" t="s">
        <v>1388</v>
      </c>
      <c r="E285" s="130"/>
      <c r="F285" s="130" t="s">
        <v>999</v>
      </c>
      <c r="G285" s="130" t="s">
        <v>1000</v>
      </c>
      <c r="H285" s="130" t="s">
        <v>1001</v>
      </c>
      <c r="I285" s="130">
        <v>7001599</v>
      </c>
      <c r="J285" s="130" t="s">
        <v>1002</v>
      </c>
      <c r="K285" s="130">
        <v>17780922623</v>
      </c>
      <c r="L285" s="130" t="s">
        <v>1389</v>
      </c>
      <c r="M285" s="130" t="s">
        <v>1363</v>
      </c>
      <c r="N285" s="130" t="s">
        <v>1390</v>
      </c>
      <c r="O285" s="130"/>
      <c r="P285" s="130" t="s">
        <v>1364</v>
      </c>
      <c r="Q285" s="130">
        <v>13401493899</v>
      </c>
      <c r="R285" s="130" t="s">
        <v>1398</v>
      </c>
      <c r="S285" s="130" t="s">
        <v>1399</v>
      </c>
      <c r="T285" s="130">
        <v>7002081</v>
      </c>
      <c r="U285" s="130" t="s">
        <v>1400</v>
      </c>
      <c r="V285" s="130">
        <v>15397693882</v>
      </c>
      <c r="W285" s="130" t="s">
        <v>1401</v>
      </c>
      <c r="X285" s="130" t="s">
        <v>1399</v>
      </c>
      <c r="Y285" s="130" t="s">
        <v>1402</v>
      </c>
      <c r="Z285" s="130" t="s">
        <v>1403</v>
      </c>
      <c r="AA285" s="128">
        <v>685.44</v>
      </c>
      <c r="AB285" s="128">
        <v>686.65</v>
      </c>
      <c r="AC285" s="128">
        <v>654.32</v>
      </c>
      <c r="AD285" s="128"/>
      <c r="AF285" s="130" t="s">
        <v>1397</v>
      </c>
      <c r="AG285" s="128"/>
      <c r="AH285" s="128"/>
      <c r="AI285" s="128"/>
      <c r="AJ285" s="128"/>
      <c r="AK285" s="128"/>
      <c r="AL285" s="128"/>
      <c r="AM285" s="128"/>
    </row>
    <row r="286" customHeight="1" spans="1:39">
      <c r="A286" s="130" t="s">
        <v>995</v>
      </c>
      <c r="B286" s="130" t="s">
        <v>996</v>
      </c>
      <c r="C286" s="130" t="s">
        <v>997</v>
      </c>
      <c r="D286" s="130" t="s">
        <v>1388</v>
      </c>
      <c r="E286" s="130"/>
      <c r="F286" s="130" t="s">
        <v>999</v>
      </c>
      <c r="G286" s="130" t="s">
        <v>1000</v>
      </c>
      <c r="H286" s="130" t="s">
        <v>1001</v>
      </c>
      <c r="I286" s="130">
        <v>7001599</v>
      </c>
      <c r="J286" s="130" t="s">
        <v>1002</v>
      </c>
      <c r="K286" s="130">
        <v>17780922623</v>
      </c>
      <c r="L286" s="130" t="s">
        <v>1389</v>
      </c>
      <c r="M286" s="130" t="s">
        <v>1363</v>
      </c>
      <c r="N286" s="130" t="s">
        <v>1390</v>
      </c>
      <c r="O286" s="130"/>
      <c r="P286" s="130" t="s">
        <v>1364</v>
      </c>
      <c r="Q286" s="130">
        <v>13401493899</v>
      </c>
      <c r="R286" s="130" t="s">
        <v>1404</v>
      </c>
      <c r="S286" s="130" t="s">
        <v>1405</v>
      </c>
      <c r="T286" s="130">
        <v>7002089</v>
      </c>
      <c r="U286" s="130" t="s">
        <v>1406</v>
      </c>
      <c r="V286" s="130">
        <v>15823774351</v>
      </c>
      <c r="W286" s="130" t="s">
        <v>1407</v>
      </c>
      <c r="X286" s="130" t="s">
        <v>1405</v>
      </c>
      <c r="Y286" s="130" t="s">
        <v>1408</v>
      </c>
      <c r="Z286" s="130" t="s">
        <v>1409</v>
      </c>
      <c r="AA286" s="128">
        <v>705.5</v>
      </c>
      <c r="AB286" s="128">
        <v>717.21</v>
      </c>
      <c r="AC286" s="128">
        <v>670.3</v>
      </c>
      <c r="AD286" s="128"/>
      <c r="AF286" s="130" t="s">
        <v>1397</v>
      </c>
      <c r="AG286" s="128"/>
      <c r="AH286" s="128"/>
      <c r="AI286" s="128"/>
      <c r="AJ286" s="128"/>
      <c r="AK286" s="128"/>
      <c r="AL286" s="128"/>
      <c r="AM286" s="1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 土地盘点表">
    <tabColor rgb="FFF88825"/>
  </sheetPr>
  <dimension ref="A1:AH37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3846153846154" defaultRowHeight="15.2"/>
  <cols>
    <col min="1" max="1" width="13.2115384615385" style="36" customWidth="1"/>
    <col min="2" max="2" width="9.98076923076923" style="36" customWidth="1"/>
    <col min="3" max="3" width="14.4326923076923" style="36" customWidth="1"/>
    <col min="4" max="4" width="9.98076923076923" style="36" customWidth="1"/>
    <col min="5" max="5" width="8.40384615384615" style="37" customWidth="1"/>
    <col min="6" max="6" width="24.5480769230769" style="36" customWidth="1"/>
    <col min="7" max="7" width="8.40384615384615" style="38" customWidth="1"/>
    <col min="8" max="8" width="10.8365384615385" style="38" customWidth="1"/>
    <col min="9" max="9" width="9.88461538461538" style="38" customWidth="1"/>
    <col min="10" max="10" width="17.2788461538462" style="38" customWidth="1"/>
    <col min="11" max="11" width="12.6826923076923" style="38" customWidth="1"/>
    <col min="12" max="12" width="16.0480769230769" style="38" customWidth="1"/>
    <col min="13" max="13" width="11.9903846153846" style="38" customWidth="1"/>
    <col min="14" max="14" width="24.5480769230769" style="38" customWidth="1"/>
    <col min="15" max="15" width="10.1153846153846" style="38" customWidth="1"/>
    <col min="16" max="16" width="17.4038461538462" style="38" hidden="1" customWidth="1"/>
    <col min="17" max="17" width="14.0384615384615" style="38" hidden="1" customWidth="1"/>
    <col min="18" max="18" width="17.9423076923077" style="38" customWidth="1"/>
    <col min="19" max="19" width="14.6538461538462" style="39" hidden="1" customWidth="1"/>
    <col min="20" max="20" width="23.8846153846154" style="40" customWidth="1"/>
    <col min="21" max="21" width="23.6057692307692" style="41" hidden="1" customWidth="1"/>
    <col min="22" max="22" width="30.8942307692308" style="42" hidden="1" customWidth="1"/>
    <col min="23" max="23" width="36.4134615384615" style="41" customWidth="1"/>
    <col min="24" max="24" width="15.6538461538462" style="43" customWidth="1"/>
    <col min="25" max="25" width="12.2692307692308" style="44" customWidth="1"/>
    <col min="26" max="26" width="12.4134615384615" style="44" customWidth="1"/>
    <col min="27" max="27" width="8.40384615384615" style="45" customWidth="1"/>
    <col min="28" max="28" width="8.26923076923077" style="46" customWidth="1"/>
    <col min="29" max="29" width="8.36538461538461" style="36" customWidth="1"/>
    <col min="30" max="30" width="8.90384615384615" style="36" customWidth="1"/>
    <col min="31" max="31" width="9.03846153846154" style="36" customWidth="1"/>
    <col min="32" max="34" width="13.6730769230769" style="36" customWidth="1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13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7" t="s">
        <v>25</v>
      </c>
      <c r="U1" s="47" t="s">
        <v>1410</v>
      </c>
      <c r="V1" s="48" t="s">
        <v>1411</v>
      </c>
      <c r="W1" s="2" t="s">
        <v>30</v>
      </c>
      <c r="X1" s="49" t="s">
        <v>26</v>
      </c>
      <c r="Y1" s="50" t="s">
        <v>1412</v>
      </c>
      <c r="Z1" s="50" t="s">
        <v>28</v>
      </c>
      <c r="AA1" s="51" t="s">
        <v>1413</v>
      </c>
      <c r="AB1" s="52" t="s">
        <v>1414</v>
      </c>
      <c r="AC1" s="53" t="s">
        <v>1415</v>
      </c>
      <c r="AD1" s="53" t="s">
        <v>1416</v>
      </c>
      <c r="AE1" s="53" t="s">
        <v>1417</v>
      </c>
    </row>
    <row r="2" s="33" customFormat="1" spans="1:34">
      <c r="A2" s="13" t="s">
        <v>39</v>
      </c>
      <c r="B2" s="13" t="s">
        <v>40</v>
      </c>
      <c r="C2" s="13" t="s">
        <v>41</v>
      </c>
      <c r="D2" s="54" t="s">
        <v>42</v>
      </c>
      <c r="E2" s="55"/>
      <c r="F2" s="13" t="s">
        <v>43</v>
      </c>
      <c r="G2" s="13" t="s">
        <v>44</v>
      </c>
      <c r="H2" s="13" t="s">
        <v>45</v>
      </c>
      <c r="I2" s="56" t="s">
        <v>47</v>
      </c>
      <c r="J2" s="54" t="s">
        <v>48</v>
      </c>
      <c r="K2" s="13" t="s">
        <v>49</v>
      </c>
      <c r="L2" s="13">
        <v>18357088762</v>
      </c>
      <c r="M2" s="56" t="s">
        <v>50</v>
      </c>
      <c r="N2" s="54" t="s">
        <v>117</v>
      </c>
      <c r="O2" s="13" t="s">
        <v>118</v>
      </c>
      <c r="P2" s="13">
        <v>15857024609</v>
      </c>
      <c r="Q2" s="54" t="s">
        <v>53</v>
      </c>
      <c r="R2" s="54" t="s">
        <v>120</v>
      </c>
      <c r="S2" s="57" t="s">
        <v>55</v>
      </c>
      <c r="T2" s="57" t="s">
        <v>120</v>
      </c>
      <c r="U2" s="58" t="s">
        <v>1418</v>
      </c>
      <c r="V2" s="58" t="s">
        <v>1419</v>
      </c>
      <c r="W2" s="58" t="s">
        <v>57</v>
      </c>
      <c r="X2" s="59">
        <v>2627.5283</v>
      </c>
      <c r="Y2" s="60">
        <v>95.12</v>
      </c>
      <c r="Z2" s="60">
        <v>95.09</v>
      </c>
      <c r="AA2" s="61" t="s">
        <v>1420</v>
      </c>
      <c r="AB2" s="18"/>
      <c r="AC2" s="19"/>
      <c r="AD2" s="19"/>
      <c r="AE2" s="19"/>
      <c r="AF2" s="38"/>
      <c r="AG2" s="38"/>
      <c r="AH2" s="38"/>
    </row>
    <row r="3" s="33" customFormat="1" spans="1:34">
      <c r="A3" s="13" t="s">
        <v>39</v>
      </c>
      <c r="B3" s="13" t="s">
        <v>40</v>
      </c>
      <c r="C3" s="13" t="s">
        <v>41</v>
      </c>
      <c r="D3" s="54" t="s">
        <v>42</v>
      </c>
      <c r="E3" s="55"/>
      <c r="F3" s="13" t="s">
        <v>43</v>
      </c>
      <c r="G3" s="13" t="s">
        <v>44</v>
      </c>
      <c r="H3" s="13" t="s">
        <v>45</v>
      </c>
      <c r="I3" s="56" t="s">
        <v>47</v>
      </c>
      <c r="J3" s="54" t="s">
        <v>48</v>
      </c>
      <c r="K3" s="13" t="s">
        <v>49</v>
      </c>
      <c r="L3" s="13">
        <v>18357088762</v>
      </c>
      <c r="M3" s="56" t="s">
        <v>50</v>
      </c>
      <c r="N3" s="54" t="s">
        <v>117</v>
      </c>
      <c r="O3" s="13" t="s">
        <v>118</v>
      </c>
      <c r="P3" s="13">
        <v>15857024609</v>
      </c>
      <c r="Q3" s="54" t="s">
        <v>58</v>
      </c>
      <c r="R3" s="54" t="s">
        <v>144</v>
      </c>
      <c r="S3" s="57" t="s">
        <v>60</v>
      </c>
      <c r="T3" s="57" t="s">
        <v>144</v>
      </c>
      <c r="U3" s="58" t="s">
        <v>1418</v>
      </c>
      <c r="V3" s="58" t="s">
        <v>1419</v>
      </c>
      <c r="W3" s="58" t="s">
        <v>57</v>
      </c>
      <c r="X3" s="59">
        <v>2627.5283</v>
      </c>
      <c r="Y3" s="60">
        <v>55.85</v>
      </c>
      <c r="Z3" s="60">
        <v>55.8</v>
      </c>
      <c r="AA3" s="61" t="s">
        <v>1420</v>
      </c>
      <c r="AB3" s="18"/>
      <c r="AC3" s="19"/>
      <c r="AD3" s="19"/>
      <c r="AE3" s="19"/>
      <c r="AF3" s="38"/>
      <c r="AG3" s="38"/>
      <c r="AH3" s="38"/>
    </row>
    <row r="4" s="33" customFormat="1" spans="1:34">
      <c r="A4" s="13" t="s">
        <v>39</v>
      </c>
      <c r="B4" s="13" t="s">
        <v>40</v>
      </c>
      <c r="C4" s="13" t="s">
        <v>41</v>
      </c>
      <c r="D4" s="54" t="s">
        <v>42</v>
      </c>
      <c r="E4" s="55"/>
      <c r="F4" s="13" t="s">
        <v>43</v>
      </c>
      <c r="G4" s="13" t="s">
        <v>44</v>
      </c>
      <c r="H4" s="13" t="s">
        <v>45</v>
      </c>
      <c r="I4" s="56" t="s">
        <v>47</v>
      </c>
      <c r="J4" s="54" t="s">
        <v>48</v>
      </c>
      <c r="K4" s="13" t="s">
        <v>49</v>
      </c>
      <c r="L4" s="13">
        <v>18357088762</v>
      </c>
      <c r="M4" s="56" t="s">
        <v>50</v>
      </c>
      <c r="N4" s="54" t="s">
        <v>117</v>
      </c>
      <c r="O4" s="13" t="s">
        <v>118</v>
      </c>
      <c r="P4" s="13">
        <v>15857024609</v>
      </c>
      <c r="Q4" s="54" t="s">
        <v>63</v>
      </c>
      <c r="R4" s="54" t="s">
        <v>117</v>
      </c>
      <c r="S4" s="57" t="s">
        <v>65</v>
      </c>
      <c r="T4" s="57" t="s">
        <v>117</v>
      </c>
      <c r="U4" s="58" t="s">
        <v>1418</v>
      </c>
      <c r="V4" s="58" t="s">
        <v>1419</v>
      </c>
      <c r="W4" s="58" t="s">
        <v>57</v>
      </c>
      <c r="X4" s="59">
        <v>2627.5283</v>
      </c>
      <c r="Y4" s="60">
        <v>77.8</v>
      </c>
      <c r="Z4" s="60">
        <v>77.52</v>
      </c>
      <c r="AA4" s="61" t="s">
        <v>1420</v>
      </c>
      <c r="AB4" s="18"/>
      <c r="AC4" s="19"/>
      <c r="AD4" s="19"/>
      <c r="AE4" s="19"/>
      <c r="AF4" s="38"/>
      <c r="AG4" s="38"/>
      <c r="AH4" s="38"/>
    </row>
    <row r="5" spans="1:34">
      <c r="A5" s="13" t="s">
        <v>39</v>
      </c>
      <c r="B5" s="13" t="s">
        <v>40</v>
      </c>
      <c r="C5" s="13" t="s">
        <v>41</v>
      </c>
      <c r="D5" s="54" t="s">
        <v>42</v>
      </c>
      <c r="E5" s="55"/>
      <c r="F5" s="13" t="s">
        <v>43</v>
      </c>
      <c r="G5" s="13" t="s">
        <v>44</v>
      </c>
      <c r="H5" s="13" t="s">
        <v>45</v>
      </c>
      <c r="I5" s="11" t="s">
        <v>47</v>
      </c>
      <c r="J5" s="54" t="s">
        <v>48</v>
      </c>
      <c r="K5" s="13" t="s">
        <v>49</v>
      </c>
      <c r="L5" s="13">
        <v>18357088762</v>
      </c>
      <c r="M5" s="11" t="s">
        <v>50</v>
      </c>
      <c r="N5" s="54" t="s">
        <v>117</v>
      </c>
      <c r="O5" s="13" t="s">
        <v>118</v>
      </c>
      <c r="P5" s="13">
        <v>15857024609</v>
      </c>
      <c r="Q5" s="54" t="s">
        <v>68</v>
      </c>
      <c r="R5" s="54" t="s">
        <v>169</v>
      </c>
      <c r="S5" s="57" t="s">
        <v>70</v>
      </c>
      <c r="T5" s="57" t="s">
        <v>169</v>
      </c>
      <c r="U5" s="62" t="s">
        <v>1418</v>
      </c>
      <c r="V5" s="58" t="s">
        <v>1419</v>
      </c>
      <c r="W5" s="62" t="s">
        <v>57</v>
      </c>
      <c r="X5" s="59">
        <v>2627.5283</v>
      </c>
      <c r="Y5" s="60">
        <v>97.4</v>
      </c>
      <c r="Z5" s="60">
        <v>100.71</v>
      </c>
      <c r="AA5" s="61" t="s">
        <v>1420</v>
      </c>
      <c r="AB5" s="18"/>
      <c r="AC5" s="19"/>
      <c r="AD5" s="19"/>
      <c r="AE5" s="19"/>
    </row>
    <row r="6" spans="1:34">
      <c r="A6" s="13" t="s">
        <v>39</v>
      </c>
      <c r="B6" s="13" t="s">
        <v>40</v>
      </c>
      <c r="C6" s="13" t="s">
        <v>41</v>
      </c>
      <c r="D6" s="54" t="s">
        <v>42</v>
      </c>
      <c r="E6" s="55"/>
      <c r="F6" s="13" t="s">
        <v>43</v>
      </c>
      <c r="G6" s="13" t="s">
        <v>44</v>
      </c>
      <c r="H6" s="13" t="s">
        <v>45</v>
      </c>
      <c r="I6" s="11" t="s">
        <v>47</v>
      </c>
      <c r="J6" s="54" t="s">
        <v>48</v>
      </c>
      <c r="K6" s="13" t="s">
        <v>49</v>
      </c>
      <c r="L6" s="13">
        <v>18357088762</v>
      </c>
      <c r="M6" s="11" t="s">
        <v>50</v>
      </c>
      <c r="N6" s="54" t="s">
        <v>117</v>
      </c>
      <c r="O6" s="13" t="s">
        <v>118</v>
      </c>
      <c r="P6" s="13">
        <v>15857024609</v>
      </c>
      <c r="Q6" s="54" t="s">
        <v>1421</v>
      </c>
      <c r="R6" s="54" t="s">
        <v>164</v>
      </c>
      <c r="S6" s="57" t="s">
        <v>1422</v>
      </c>
      <c r="T6" s="57" t="s">
        <v>164</v>
      </c>
      <c r="U6" s="62" t="s">
        <v>1418</v>
      </c>
      <c r="V6" s="58" t="s">
        <v>1419</v>
      </c>
      <c r="W6" s="62" t="s">
        <v>167</v>
      </c>
      <c r="X6" s="59">
        <v>48</v>
      </c>
      <c r="Y6" s="60">
        <v>48.33</v>
      </c>
      <c r="Z6" s="60">
        <v>48.33</v>
      </c>
      <c r="AA6" s="61" t="s">
        <v>1420</v>
      </c>
      <c r="AB6" s="18"/>
      <c r="AC6" s="19"/>
      <c r="AD6" s="19"/>
      <c r="AE6" s="19"/>
    </row>
    <row r="7" s="33" customFormat="1" spans="1:34">
      <c r="A7" s="13" t="s">
        <v>39</v>
      </c>
      <c r="B7" s="13" t="s">
        <v>40</v>
      </c>
      <c r="C7" s="13" t="s">
        <v>41</v>
      </c>
      <c r="D7" s="54" t="s">
        <v>42</v>
      </c>
      <c r="E7" s="55"/>
      <c r="F7" s="13" t="s">
        <v>43</v>
      </c>
      <c r="G7" s="13" t="s">
        <v>44</v>
      </c>
      <c r="H7" s="13" t="s">
        <v>45</v>
      </c>
      <c r="I7" s="56" t="s">
        <v>47</v>
      </c>
      <c r="J7" s="54" t="s">
        <v>48</v>
      </c>
      <c r="K7" s="13" t="s">
        <v>49</v>
      </c>
      <c r="L7" s="13">
        <v>18357088762</v>
      </c>
      <c r="M7" s="56" t="s">
        <v>50</v>
      </c>
      <c r="N7" s="54" t="s">
        <v>117</v>
      </c>
      <c r="O7" s="13" t="s">
        <v>118</v>
      </c>
      <c r="P7" s="13">
        <v>15857024609</v>
      </c>
      <c r="Q7" s="54" t="s">
        <v>1423</v>
      </c>
      <c r="R7" s="54" t="s">
        <v>160</v>
      </c>
      <c r="S7" s="57" t="s">
        <v>1424</v>
      </c>
      <c r="T7" s="57" t="s">
        <v>160</v>
      </c>
      <c r="U7" s="58" t="s">
        <v>1418</v>
      </c>
      <c r="V7" s="58" t="s">
        <v>1419</v>
      </c>
      <c r="W7" s="58" t="s">
        <v>57</v>
      </c>
      <c r="X7" s="59">
        <v>2627.5283</v>
      </c>
      <c r="Y7" s="60">
        <v>26.68</v>
      </c>
      <c r="Z7" s="60">
        <v>26.67</v>
      </c>
      <c r="AA7" s="61" t="s">
        <v>1420</v>
      </c>
      <c r="AB7" s="18"/>
      <c r="AC7" s="19"/>
      <c r="AD7" s="19"/>
      <c r="AE7" s="19"/>
      <c r="AF7" s="38"/>
      <c r="AG7" s="38"/>
      <c r="AH7" s="38"/>
    </row>
    <row r="8" s="33" customFormat="1" spans="1:34">
      <c r="A8" s="13" t="s">
        <v>39</v>
      </c>
      <c r="B8" s="13" t="s">
        <v>40</v>
      </c>
      <c r="C8" s="13" t="s">
        <v>41</v>
      </c>
      <c r="D8" s="54" t="s">
        <v>42</v>
      </c>
      <c r="E8" s="55"/>
      <c r="F8" s="13" t="s">
        <v>43</v>
      </c>
      <c r="G8" s="13" t="s">
        <v>44</v>
      </c>
      <c r="H8" s="13" t="s">
        <v>45</v>
      </c>
      <c r="I8" s="56" t="s">
        <v>47</v>
      </c>
      <c r="J8" s="54" t="s">
        <v>48</v>
      </c>
      <c r="K8" s="13" t="s">
        <v>49</v>
      </c>
      <c r="L8" s="13">
        <v>18357088762</v>
      </c>
      <c r="M8" s="56" t="s">
        <v>50</v>
      </c>
      <c r="N8" s="54" t="s">
        <v>117</v>
      </c>
      <c r="O8" s="13" t="s">
        <v>118</v>
      </c>
      <c r="P8" s="13">
        <v>15857024609</v>
      </c>
      <c r="Q8" s="54" t="s">
        <v>1425</v>
      </c>
      <c r="R8" s="54" t="s">
        <v>1426</v>
      </c>
      <c r="S8" s="57" t="s">
        <v>1427</v>
      </c>
      <c r="T8" s="57" t="s">
        <v>1426</v>
      </c>
      <c r="U8" s="58" t="s">
        <v>1418</v>
      </c>
      <c r="V8" s="58" t="s">
        <v>1419</v>
      </c>
      <c r="W8" s="58" t="s">
        <v>57</v>
      </c>
      <c r="X8" s="59">
        <v>2627.5283</v>
      </c>
      <c r="Y8" s="60">
        <v>89.5</v>
      </c>
      <c r="Z8" s="60">
        <v>86.03</v>
      </c>
      <c r="AA8" s="61" t="s">
        <v>1420</v>
      </c>
      <c r="AB8" s="18"/>
      <c r="AC8" s="19"/>
      <c r="AD8" s="19"/>
      <c r="AE8" s="19"/>
      <c r="AF8" s="38"/>
      <c r="AG8" s="38"/>
      <c r="AH8" s="38"/>
    </row>
    <row r="9" s="33" customFormat="1" spans="1:34">
      <c r="A9" s="13" t="s">
        <v>39</v>
      </c>
      <c r="B9" s="13" t="s">
        <v>40</v>
      </c>
      <c r="C9" s="13" t="s">
        <v>41</v>
      </c>
      <c r="D9" s="54" t="s">
        <v>42</v>
      </c>
      <c r="E9" s="55"/>
      <c r="F9" s="13" t="s">
        <v>43</v>
      </c>
      <c r="G9" s="13" t="s">
        <v>44</v>
      </c>
      <c r="H9" s="13" t="s">
        <v>45</v>
      </c>
      <c r="I9" s="56" t="s">
        <v>47</v>
      </c>
      <c r="J9" s="54" t="s">
        <v>48</v>
      </c>
      <c r="K9" s="13" t="s">
        <v>49</v>
      </c>
      <c r="L9" s="13">
        <v>18357088762</v>
      </c>
      <c r="M9" s="56" t="s">
        <v>50</v>
      </c>
      <c r="N9" s="54" t="s">
        <v>117</v>
      </c>
      <c r="O9" s="13" t="s">
        <v>118</v>
      </c>
      <c r="P9" s="13">
        <v>15857024609</v>
      </c>
      <c r="Q9" s="54" t="s">
        <v>1428</v>
      </c>
      <c r="R9" s="54" t="s">
        <v>152</v>
      </c>
      <c r="S9" s="57" t="s">
        <v>1429</v>
      </c>
      <c r="T9" s="57" t="s">
        <v>152</v>
      </c>
      <c r="U9" s="58" t="s">
        <v>1418</v>
      </c>
      <c r="V9" s="58" t="s">
        <v>1419</v>
      </c>
      <c r="W9" s="58" t="s">
        <v>57</v>
      </c>
      <c r="X9" s="59">
        <v>2627.5283</v>
      </c>
      <c r="Y9" s="60">
        <v>15.99</v>
      </c>
      <c r="Z9" s="60">
        <v>15.98</v>
      </c>
      <c r="AA9" s="61" t="s">
        <v>1420</v>
      </c>
      <c r="AB9" s="18"/>
      <c r="AC9" s="19"/>
      <c r="AD9" s="19"/>
      <c r="AE9" s="19"/>
      <c r="AF9" s="38"/>
      <c r="AG9" s="38"/>
      <c r="AH9" s="38"/>
    </row>
    <row r="10" spans="1:34">
      <c r="A10" s="13" t="s">
        <v>39</v>
      </c>
      <c r="B10" s="13" t="s">
        <v>40</v>
      </c>
      <c r="C10" s="13" t="s">
        <v>41</v>
      </c>
      <c r="D10" s="54" t="s">
        <v>42</v>
      </c>
      <c r="E10" s="55"/>
      <c r="F10" s="13" t="s">
        <v>43</v>
      </c>
      <c r="G10" s="13" t="s">
        <v>44</v>
      </c>
      <c r="H10" s="13" t="s">
        <v>45</v>
      </c>
      <c r="I10" s="56" t="s">
        <v>47</v>
      </c>
      <c r="J10" s="54" t="s">
        <v>48</v>
      </c>
      <c r="K10" s="13" t="s">
        <v>49</v>
      </c>
      <c r="L10" s="13">
        <v>18357088762</v>
      </c>
      <c r="M10" s="56" t="s">
        <v>50</v>
      </c>
      <c r="N10" s="54" t="s">
        <v>117</v>
      </c>
      <c r="O10" s="13" t="s">
        <v>118</v>
      </c>
      <c r="P10" s="13">
        <v>15857024609</v>
      </c>
      <c r="Q10" s="54"/>
      <c r="R10" s="54" t="s">
        <v>127</v>
      </c>
      <c r="S10" s="57"/>
      <c r="T10" s="57" t="s">
        <v>127</v>
      </c>
      <c r="U10" s="62"/>
      <c r="V10" s="58"/>
      <c r="W10" s="62" t="s">
        <v>1430</v>
      </c>
      <c r="X10" s="59">
        <v>5.6</v>
      </c>
      <c r="Y10" s="60">
        <v>5.64</v>
      </c>
      <c r="Z10" s="60">
        <v>5.61</v>
      </c>
      <c r="AA10" s="61" t="s">
        <v>1420</v>
      </c>
      <c r="AB10" s="18"/>
      <c r="AC10" s="19"/>
      <c r="AD10" s="19"/>
      <c r="AE10" s="19"/>
      <c r="AF10" s="63"/>
      <c r="AG10" s="63"/>
      <c r="AH10" s="63"/>
    </row>
    <row r="11" s="33" customFormat="1" ht="16" spans="1:34">
      <c r="A11" s="13" t="s">
        <v>39</v>
      </c>
      <c r="B11" s="13" t="s">
        <v>40</v>
      </c>
      <c r="C11" s="13" t="s">
        <v>41</v>
      </c>
      <c r="D11" s="54" t="s">
        <v>42</v>
      </c>
      <c r="E11" s="55"/>
      <c r="F11" s="13" t="s">
        <v>43</v>
      </c>
      <c r="G11" s="13" t="s">
        <v>44</v>
      </c>
      <c r="H11" s="13" t="s">
        <v>45</v>
      </c>
      <c r="I11" s="56" t="s">
        <v>47</v>
      </c>
      <c r="J11" s="54" t="s">
        <v>48</v>
      </c>
      <c r="K11" s="13" t="s">
        <v>49</v>
      </c>
      <c r="L11" s="13">
        <v>18357088762</v>
      </c>
      <c r="M11" s="56" t="s">
        <v>72</v>
      </c>
      <c r="N11" s="54" t="s">
        <v>51</v>
      </c>
      <c r="O11" s="13" t="s">
        <v>52</v>
      </c>
      <c r="P11" s="13">
        <v>15057078636</v>
      </c>
      <c r="Q11" s="54" t="s">
        <v>75</v>
      </c>
      <c r="R11" s="54" t="s">
        <v>54</v>
      </c>
      <c r="S11" s="57" t="s">
        <v>77</v>
      </c>
      <c r="T11" s="57" t="s">
        <v>54</v>
      </c>
      <c r="U11" s="13" t="s">
        <v>1431</v>
      </c>
      <c r="V11" s="13" t="s">
        <v>1432</v>
      </c>
      <c r="W11" s="58" t="s">
        <v>57</v>
      </c>
      <c r="X11" s="59">
        <v>2627.5283</v>
      </c>
      <c r="Y11" s="60">
        <v>86.47</v>
      </c>
      <c r="Z11" s="60">
        <v>86.47</v>
      </c>
      <c r="AA11" s="61" t="s">
        <v>1420</v>
      </c>
      <c r="AB11" s="18"/>
      <c r="AC11" s="19"/>
      <c r="AD11" s="19"/>
      <c r="AE11" s="19"/>
      <c r="AF11" s="38"/>
      <c r="AG11" s="38"/>
      <c r="AH11" s="38"/>
    </row>
    <row r="12" ht="16" spans="1:34">
      <c r="A12" s="13" t="s">
        <v>39</v>
      </c>
      <c r="B12" s="13" t="s">
        <v>40</v>
      </c>
      <c r="C12" s="13" t="s">
        <v>41</v>
      </c>
      <c r="D12" s="54" t="s">
        <v>42</v>
      </c>
      <c r="E12" s="55"/>
      <c r="F12" s="13" t="s">
        <v>43</v>
      </c>
      <c r="G12" s="13" t="s">
        <v>44</v>
      </c>
      <c r="H12" s="13" t="s">
        <v>45</v>
      </c>
      <c r="I12" s="11" t="s">
        <v>47</v>
      </c>
      <c r="J12" s="54" t="s">
        <v>48</v>
      </c>
      <c r="K12" s="13" t="s">
        <v>49</v>
      </c>
      <c r="L12" s="13">
        <v>18357088762</v>
      </c>
      <c r="M12" s="11" t="s">
        <v>72</v>
      </c>
      <c r="N12" s="54" t="s">
        <v>51</v>
      </c>
      <c r="O12" s="13" t="s">
        <v>52</v>
      </c>
      <c r="P12" s="13">
        <v>15057078636</v>
      </c>
      <c r="Q12" s="54" t="s">
        <v>79</v>
      </c>
      <c r="R12" s="54" t="s">
        <v>1433</v>
      </c>
      <c r="S12" s="57" t="s">
        <v>81</v>
      </c>
      <c r="T12" s="57" t="s">
        <v>1433</v>
      </c>
      <c r="U12" s="64" t="s">
        <v>1431</v>
      </c>
      <c r="V12" s="13" t="s">
        <v>1432</v>
      </c>
      <c r="W12" s="64" t="s">
        <v>62</v>
      </c>
      <c r="X12" s="59">
        <v>48.7</v>
      </c>
      <c r="Y12" s="60">
        <v>44.8</v>
      </c>
      <c r="Z12" s="60">
        <v>44.8</v>
      </c>
      <c r="AA12" s="61" t="s">
        <v>1420</v>
      </c>
      <c r="AB12" s="18"/>
      <c r="AC12" s="19"/>
      <c r="AD12" s="19"/>
      <c r="AE12" s="19"/>
    </row>
    <row r="13" s="33" customFormat="1" ht="16" spans="1:34">
      <c r="A13" s="13" t="s">
        <v>39</v>
      </c>
      <c r="B13" s="13" t="s">
        <v>40</v>
      </c>
      <c r="C13" s="13" t="s">
        <v>41</v>
      </c>
      <c r="D13" s="54" t="s">
        <v>42</v>
      </c>
      <c r="E13" s="55"/>
      <c r="F13" s="13" t="s">
        <v>43</v>
      </c>
      <c r="G13" s="13" t="s">
        <v>44</v>
      </c>
      <c r="H13" s="13" t="s">
        <v>45</v>
      </c>
      <c r="I13" s="56" t="s">
        <v>47</v>
      </c>
      <c r="J13" s="54" t="s">
        <v>48</v>
      </c>
      <c r="K13" s="13" t="s">
        <v>49</v>
      </c>
      <c r="L13" s="13">
        <v>18357088762</v>
      </c>
      <c r="M13" s="56" t="s">
        <v>72</v>
      </c>
      <c r="N13" s="54" t="s">
        <v>51</v>
      </c>
      <c r="O13" s="13" t="s">
        <v>52</v>
      </c>
      <c r="P13" s="13">
        <v>15057078636</v>
      </c>
      <c r="Q13" s="54" t="s">
        <v>83</v>
      </c>
      <c r="R13" s="54" t="s">
        <v>64</v>
      </c>
      <c r="S13" s="57" t="s">
        <v>85</v>
      </c>
      <c r="T13" s="57" t="s">
        <v>64</v>
      </c>
      <c r="U13" s="13" t="s">
        <v>1431</v>
      </c>
      <c r="V13" s="13" t="s">
        <v>1432</v>
      </c>
      <c r="W13" s="13" t="s">
        <v>67</v>
      </c>
      <c r="X13" s="59">
        <v>266</v>
      </c>
      <c r="Y13" s="60">
        <v>140.82</v>
      </c>
      <c r="Z13" s="60">
        <v>140.8</v>
      </c>
      <c r="AA13" s="61" t="s">
        <v>1420</v>
      </c>
      <c r="AB13" s="18"/>
      <c r="AC13" s="19"/>
      <c r="AD13" s="19"/>
      <c r="AE13" s="19"/>
      <c r="AF13" s="38"/>
      <c r="AG13" s="38"/>
      <c r="AH13" s="38"/>
    </row>
    <row r="14" s="33" customFormat="1" ht="16" spans="1:34">
      <c r="A14" s="13" t="s">
        <v>39</v>
      </c>
      <c r="B14" s="13" t="s">
        <v>40</v>
      </c>
      <c r="C14" s="13" t="s">
        <v>41</v>
      </c>
      <c r="D14" s="54" t="s">
        <v>42</v>
      </c>
      <c r="E14" s="55"/>
      <c r="F14" s="13" t="s">
        <v>43</v>
      </c>
      <c r="G14" s="13" t="s">
        <v>44</v>
      </c>
      <c r="H14" s="13" t="s">
        <v>45</v>
      </c>
      <c r="I14" s="56" t="s">
        <v>47</v>
      </c>
      <c r="J14" s="54" t="s">
        <v>48</v>
      </c>
      <c r="K14" s="13" t="s">
        <v>49</v>
      </c>
      <c r="L14" s="13">
        <v>18357088762</v>
      </c>
      <c r="M14" s="56" t="s">
        <v>72</v>
      </c>
      <c r="N14" s="54" t="s">
        <v>51</v>
      </c>
      <c r="O14" s="13" t="s">
        <v>52</v>
      </c>
      <c r="P14" s="13">
        <v>15057078636</v>
      </c>
      <c r="Q14" s="54" t="s">
        <v>91</v>
      </c>
      <c r="R14" s="54" t="s">
        <v>1434</v>
      </c>
      <c r="S14" s="57" t="s">
        <v>93</v>
      </c>
      <c r="T14" s="57" t="s">
        <v>1434</v>
      </c>
      <c r="U14" s="13" t="s">
        <v>1431</v>
      </c>
      <c r="V14" s="13" t="s">
        <v>1432</v>
      </c>
      <c r="W14" s="13" t="s">
        <v>67</v>
      </c>
      <c r="X14" s="59">
        <v>266</v>
      </c>
      <c r="Y14" s="60">
        <v>135.29</v>
      </c>
      <c r="Z14" s="60">
        <v>135.25</v>
      </c>
      <c r="AA14" s="61" t="s">
        <v>1420</v>
      </c>
      <c r="AB14" s="18"/>
      <c r="AC14" s="19"/>
      <c r="AD14" s="19"/>
      <c r="AE14" s="19"/>
      <c r="AF14" s="38"/>
      <c r="AG14" s="38"/>
      <c r="AH14" s="38"/>
    </row>
    <row r="15" s="33" customFormat="1" ht="16" spans="1:34">
      <c r="A15" s="13" t="s">
        <v>39</v>
      </c>
      <c r="B15" s="13" t="s">
        <v>40</v>
      </c>
      <c r="C15" s="13" t="s">
        <v>41</v>
      </c>
      <c r="D15" s="54" t="s">
        <v>42</v>
      </c>
      <c r="E15" s="55"/>
      <c r="F15" s="13" t="s">
        <v>43</v>
      </c>
      <c r="G15" s="13" t="s">
        <v>44</v>
      </c>
      <c r="H15" s="13" t="s">
        <v>45</v>
      </c>
      <c r="I15" s="56" t="s">
        <v>47</v>
      </c>
      <c r="J15" s="54" t="s">
        <v>48</v>
      </c>
      <c r="K15" s="13" t="s">
        <v>49</v>
      </c>
      <c r="L15" s="13">
        <v>18357088762</v>
      </c>
      <c r="M15" s="56" t="s">
        <v>95</v>
      </c>
      <c r="N15" s="54" t="s">
        <v>73</v>
      </c>
      <c r="O15" s="13" t="s">
        <v>74</v>
      </c>
      <c r="P15" s="13">
        <v>15857026038</v>
      </c>
      <c r="Q15" s="54" t="s">
        <v>98</v>
      </c>
      <c r="R15" s="54" t="s">
        <v>76</v>
      </c>
      <c r="S15" s="57" t="s">
        <v>100</v>
      </c>
      <c r="T15" s="57" t="s">
        <v>76</v>
      </c>
      <c r="U15" s="58" t="s">
        <v>1435</v>
      </c>
      <c r="V15" s="58" t="s">
        <v>1436</v>
      </c>
      <c r="W15" s="58" t="s">
        <v>57</v>
      </c>
      <c r="X15" s="59">
        <v>2627.5283</v>
      </c>
      <c r="Y15" s="60">
        <v>52.33</v>
      </c>
      <c r="Z15" s="60">
        <v>49.98</v>
      </c>
      <c r="AA15" s="61" t="s">
        <v>1420</v>
      </c>
      <c r="AB15" s="18"/>
      <c r="AC15" s="19"/>
      <c r="AD15" s="19"/>
      <c r="AE15" s="19"/>
      <c r="AF15" s="38"/>
      <c r="AG15" s="38"/>
      <c r="AH15" s="38"/>
    </row>
    <row r="16" s="33" customFormat="1" ht="16" spans="1:34">
      <c r="A16" s="13" t="s">
        <v>39</v>
      </c>
      <c r="B16" s="13" t="s">
        <v>40</v>
      </c>
      <c r="C16" s="13" t="s">
        <v>41</v>
      </c>
      <c r="D16" s="54" t="s">
        <v>42</v>
      </c>
      <c r="E16" s="55"/>
      <c r="F16" s="13" t="s">
        <v>43</v>
      </c>
      <c r="G16" s="13" t="s">
        <v>44</v>
      </c>
      <c r="H16" s="13" t="s">
        <v>45</v>
      </c>
      <c r="I16" s="56" t="s">
        <v>47</v>
      </c>
      <c r="J16" s="54" t="s">
        <v>48</v>
      </c>
      <c r="K16" s="13" t="s">
        <v>49</v>
      </c>
      <c r="L16" s="13">
        <v>18357088762</v>
      </c>
      <c r="M16" s="56" t="s">
        <v>95</v>
      </c>
      <c r="N16" s="54" t="s">
        <v>73</v>
      </c>
      <c r="O16" s="13" t="s">
        <v>74</v>
      </c>
      <c r="P16" s="13">
        <v>15857026038</v>
      </c>
      <c r="Q16" s="54" t="s">
        <v>106</v>
      </c>
      <c r="R16" s="54" t="s">
        <v>84</v>
      </c>
      <c r="S16" s="57" t="s">
        <v>107</v>
      </c>
      <c r="T16" s="57" t="s">
        <v>84</v>
      </c>
      <c r="U16" s="58" t="s">
        <v>1435</v>
      </c>
      <c r="V16" s="58" t="s">
        <v>1436</v>
      </c>
      <c r="W16" s="58" t="s">
        <v>57</v>
      </c>
      <c r="X16" s="59">
        <v>2627.5283</v>
      </c>
      <c r="Y16" s="60">
        <v>140.29</v>
      </c>
      <c r="Z16" s="60">
        <v>139.83</v>
      </c>
      <c r="AA16" s="61" t="s">
        <v>1420</v>
      </c>
      <c r="AB16" s="18"/>
      <c r="AC16" s="19"/>
      <c r="AD16" s="19"/>
      <c r="AE16" s="19"/>
      <c r="AF16" s="38"/>
      <c r="AG16" s="38"/>
      <c r="AH16" s="38"/>
    </row>
    <row r="17" s="33" customFormat="1" ht="16" spans="1:34">
      <c r="A17" s="13" t="s">
        <v>39</v>
      </c>
      <c r="B17" s="13" t="s">
        <v>40</v>
      </c>
      <c r="C17" s="13" t="s">
        <v>41</v>
      </c>
      <c r="D17" s="54" t="s">
        <v>42</v>
      </c>
      <c r="E17" s="55"/>
      <c r="F17" s="13" t="s">
        <v>43</v>
      </c>
      <c r="G17" s="13" t="s">
        <v>44</v>
      </c>
      <c r="H17" s="13" t="s">
        <v>45</v>
      </c>
      <c r="I17" s="56" t="s">
        <v>47</v>
      </c>
      <c r="J17" s="54" t="s">
        <v>48</v>
      </c>
      <c r="K17" s="13" t="s">
        <v>49</v>
      </c>
      <c r="L17" s="13">
        <v>18357088762</v>
      </c>
      <c r="M17" s="56" t="s">
        <v>95</v>
      </c>
      <c r="N17" s="54" t="s">
        <v>73</v>
      </c>
      <c r="O17" s="13" t="s">
        <v>74</v>
      </c>
      <c r="P17" s="13">
        <v>15857026038</v>
      </c>
      <c r="Q17" s="54" t="s">
        <v>108</v>
      </c>
      <c r="R17" s="54" t="s">
        <v>92</v>
      </c>
      <c r="S17" s="57" t="s">
        <v>110</v>
      </c>
      <c r="T17" s="57" t="s">
        <v>92</v>
      </c>
      <c r="U17" s="58" t="s">
        <v>1435</v>
      </c>
      <c r="V17" s="58" t="s">
        <v>1436</v>
      </c>
      <c r="W17" s="58" t="s">
        <v>57</v>
      </c>
      <c r="X17" s="59">
        <v>2627.5283</v>
      </c>
      <c r="Y17" s="60">
        <v>27.27</v>
      </c>
      <c r="Z17" s="60">
        <v>27.29</v>
      </c>
      <c r="AA17" s="61" t="s">
        <v>1420</v>
      </c>
      <c r="AB17" s="18"/>
      <c r="AC17" s="19"/>
      <c r="AD17" s="19"/>
      <c r="AE17" s="19"/>
      <c r="AF17" s="38"/>
      <c r="AG17" s="38"/>
      <c r="AH17" s="38"/>
    </row>
    <row r="18" s="33" customFormat="1" ht="16" spans="1:34">
      <c r="A18" s="13" t="s">
        <v>39</v>
      </c>
      <c r="B18" s="13" t="s">
        <v>40</v>
      </c>
      <c r="C18" s="13" t="s">
        <v>41</v>
      </c>
      <c r="D18" s="54" t="s">
        <v>42</v>
      </c>
      <c r="E18" s="55"/>
      <c r="F18" s="13" t="s">
        <v>43</v>
      </c>
      <c r="G18" s="13" t="s">
        <v>44</v>
      </c>
      <c r="H18" s="13" t="s">
        <v>45</v>
      </c>
      <c r="I18" s="56" t="s">
        <v>47</v>
      </c>
      <c r="J18" s="54" t="s">
        <v>48</v>
      </c>
      <c r="K18" s="13" t="s">
        <v>49</v>
      </c>
      <c r="L18" s="13">
        <v>18357088762</v>
      </c>
      <c r="M18" s="56" t="s">
        <v>95</v>
      </c>
      <c r="N18" s="54" t="s">
        <v>73</v>
      </c>
      <c r="O18" s="13" t="s">
        <v>74</v>
      </c>
      <c r="P18" s="13">
        <v>15857026038</v>
      </c>
      <c r="Q18" s="54" t="s">
        <v>112</v>
      </c>
      <c r="R18" s="54" t="s">
        <v>80</v>
      </c>
      <c r="S18" s="57" t="s">
        <v>114</v>
      </c>
      <c r="T18" s="57" t="s">
        <v>80</v>
      </c>
      <c r="U18" s="58" t="s">
        <v>1435</v>
      </c>
      <c r="V18" s="58" t="s">
        <v>1436</v>
      </c>
      <c r="W18" s="58" t="s">
        <v>57</v>
      </c>
      <c r="X18" s="59">
        <v>2627.5283</v>
      </c>
      <c r="Y18" s="60">
        <v>91.61</v>
      </c>
      <c r="Z18" s="60">
        <v>91.6</v>
      </c>
      <c r="AA18" s="61" t="s">
        <v>1420</v>
      </c>
      <c r="AB18" s="18"/>
      <c r="AC18" s="19"/>
      <c r="AD18" s="19"/>
      <c r="AE18" s="19"/>
      <c r="AF18" s="38"/>
      <c r="AG18" s="38"/>
      <c r="AH18" s="38"/>
    </row>
    <row r="19" s="33" customFormat="1" ht="16" spans="1:34">
      <c r="A19" s="13" t="s">
        <v>39</v>
      </c>
      <c r="B19" s="13" t="s">
        <v>40</v>
      </c>
      <c r="C19" s="13" t="s">
        <v>41</v>
      </c>
      <c r="D19" s="54" t="s">
        <v>42</v>
      </c>
      <c r="E19" s="55"/>
      <c r="F19" s="13" t="s">
        <v>43</v>
      </c>
      <c r="G19" s="13" t="s">
        <v>44</v>
      </c>
      <c r="H19" s="13" t="s">
        <v>45</v>
      </c>
      <c r="I19" s="56" t="s">
        <v>47</v>
      </c>
      <c r="J19" s="54" t="s">
        <v>48</v>
      </c>
      <c r="K19" s="13" t="s">
        <v>49</v>
      </c>
      <c r="L19" s="13">
        <v>18357088762</v>
      </c>
      <c r="M19" s="56" t="s">
        <v>95</v>
      </c>
      <c r="N19" s="54" t="s">
        <v>73</v>
      </c>
      <c r="O19" s="13" t="s">
        <v>74</v>
      </c>
      <c r="P19" s="13">
        <v>15857026038</v>
      </c>
      <c r="Q19" s="54" t="s">
        <v>1437</v>
      </c>
      <c r="R19" s="54" t="s">
        <v>88</v>
      </c>
      <c r="S19" s="57" t="s">
        <v>1438</v>
      </c>
      <c r="T19" s="57" t="s">
        <v>88</v>
      </c>
      <c r="U19" s="58" t="s">
        <v>1435</v>
      </c>
      <c r="V19" s="58" t="s">
        <v>1436</v>
      </c>
      <c r="W19" s="58" t="s">
        <v>57</v>
      </c>
      <c r="X19" s="59">
        <v>2627.5283</v>
      </c>
      <c r="Y19" s="60">
        <v>68.46</v>
      </c>
      <c r="Z19" s="60">
        <v>68.43</v>
      </c>
      <c r="AA19" s="61" t="s">
        <v>1420</v>
      </c>
      <c r="AB19" s="18"/>
      <c r="AC19" s="19"/>
      <c r="AD19" s="19"/>
      <c r="AE19" s="19"/>
      <c r="AF19" s="38"/>
      <c r="AG19" s="38"/>
      <c r="AH19" s="38"/>
    </row>
    <row r="20" s="33" customFormat="1" ht="16" spans="1:34">
      <c r="A20" s="13" t="s">
        <v>39</v>
      </c>
      <c r="B20" s="13" t="s">
        <v>40</v>
      </c>
      <c r="C20" s="13" t="s">
        <v>41</v>
      </c>
      <c r="D20" s="54" t="s">
        <v>42</v>
      </c>
      <c r="E20" s="55"/>
      <c r="F20" s="13" t="s">
        <v>43</v>
      </c>
      <c r="G20" s="13" t="s">
        <v>44</v>
      </c>
      <c r="H20" s="13" t="s">
        <v>45</v>
      </c>
      <c r="I20" s="56" t="s">
        <v>47</v>
      </c>
      <c r="J20" s="54" t="s">
        <v>48</v>
      </c>
      <c r="K20" s="13" t="s">
        <v>49</v>
      </c>
      <c r="L20" s="13">
        <v>18357088762</v>
      </c>
      <c r="M20" s="56" t="s">
        <v>116</v>
      </c>
      <c r="N20" s="54" t="s">
        <v>96</v>
      </c>
      <c r="O20" s="13" t="s">
        <v>97</v>
      </c>
      <c r="P20" s="13">
        <v>13373984718</v>
      </c>
      <c r="Q20" s="54" t="s">
        <v>126</v>
      </c>
      <c r="R20" s="54" t="s">
        <v>113</v>
      </c>
      <c r="S20" s="57" t="s">
        <v>128</v>
      </c>
      <c r="T20" s="57" t="s">
        <v>113</v>
      </c>
      <c r="U20" s="58" t="s">
        <v>1439</v>
      </c>
      <c r="V20" s="58" t="s">
        <v>1436</v>
      </c>
      <c r="W20" s="58" t="s">
        <v>57</v>
      </c>
      <c r="X20" s="59">
        <v>2627.5283</v>
      </c>
      <c r="Y20" s="60">
        <v>198.55</v>
      </c>
      <c r="Z20" s="60">
        <v>199.23</v>
      </c>
      <c r="AA20" s="61" t="s">
        <v>1420</v>
      </c>
      <c r="AB20" s="18"/>
      <c r="AC20" s="19"/>
      <c r="AD20" s="19"/>
      <c r="AE20" s="19"/>
      <c r="AF20" s="38"/>
      <c r="AG20" s="38"/>
      <c r="AH20" s="38"/>
    </row>
    <row r="21" s="33" customFormat="1" ht="16" spans="1:34">
      <c r="A21" s="13" t="s">
        <v>39</v>
      </c>
      <c r="B21" s="13" t="s">
        <v>40</v>
      </c>
      <c r="C21" s="13" t="s">
        <v>41</v>
      </c>
      <c r="D21" s="54" t="s">
        <v>42</v>
      </c>
      <c r="E21" s="55"/>
      <c r="F21" s="13" t="s">
        <v>43</v>
      </c>
      <c r="G21" s="13" t="s">
        <v>44</v>
      </c>
      <c r="H21" s="13" t="s">
        <v>45</v>
      </c>
      <c r="I21" s="56" t="s">
        <v>47</v>
      </c>
      <c r="J21" s="54" t="s">
        <v>48</v>
      </c>
      <c r="K21" s="13" t="s">
        <v>49</v>
      </c>
      <c r="L21" s="13">
        <v>18357088762</v>
      </c>
      <c r="M21" s="56" t="s">
        <v>116</v>
      </c>
      <c r="N21" s="54" t="s">
        <v>96</v>
      </c>
      <c r="O21" s="13" t="s">
        <v>97</v>
      </c>
      <c r="P21" s="13">
        <v>13373984718</v>
      </c>
      <c r="Q21" s="54" t="s">
        <v>135</v>
      </c>
      <c r="R21" s="54" t="s">
        <v>88</v>
      </c>
      <c r="S21" s="57" t="s">
        <v>137</v>
      </c>
      <c r="T21" s="57" t="s">
        <v>88</v>
      </c>
      <c r="U21" s="58" t="s">
        <v>1439</v>
      </c>
      <c r="V21" s="58" t="s">
        <v>1436</v>
      </c>
      <c r="W21" s="58" t="s">
        <v>57</v>
      </c>
      <c r="X21" s="59">
        <v>2627.5283</v>
      </c>
      <c r="Y21" s="60">
        <v>42.69</v>
      </c>
      <c r="Z21" s="60">
        <v>42.69</v>
      </c>
      <c r="AA21" s="61" t="s">
        <v>1420</v>
      </c>
      <c r="AB21" s="18"/>
      <c r="AC21" s="19"/>
      <c r="AD21" s="19"/>
      <c r="AE21" s="19"/>
      <c r="AF21" s="38"/>
      <c r="AG21" s="38"/>
      <c r="AH21" s="38"/>
    </row>
    <row r="22" s="33" customFormat="1" ht="16" spans="1:34">
      <c r="A22" s="13" t="s">
        <v>39</v>
      </c>
      <c r="B22" s="13" t="s">
        <v>40</v>
      </c>
      <c r="C22" s="13" t="s">
        <v>41</v>
      </c>
      <c r="D22" s="54" t="s">
        <v>42</v>
      </c>
      <c r="E22" s="55"/>
      <c r="F22" s="13" t="s">
        <v>43</v>
      </c>
      <c r="G22" s="13" t="s">
        <v>44</v>
      </c>
      <c r="H22" s="13" t="s">
        <v>45</v>
      </c>
      <c r="I22" s="56" t="s">
        <v>47</v>
      </c>
      <c r="J22" s="54" t="s">
        <v>48</v>
      </c>
      <c r="K22" s="13" t="s">
        <v>49</v>
      </c>
      <c r="L22" s="13">
        <v>18357088762</v>
      </c>
      <c r="M22" s="56" t="s">
        <v>116</v>
      </c>
      <c r="N22" s="54" t="s">
        <v>96</v>
      </c>
      <c r="O22" s="13" t="s">
        <v>97</v>
      </c>
      <c r="P22" s="13">
        <v>13373984718</v>
      </c>
      <c r="Q22" s="54" t="s">
        <v>139</v>
      </c>
      <c r="R22" s="54" t="s">
        <v>103</v>
      </c>
      <c r="S22" s="57" t="s">
        <v>141</v>
      </c>
      <c r="T22" s="57" t="s">
        <v>103</v>
      </c>
      <c r="U22" s="58" t="s">
        <v>1439</v>
      </c>
      <c r="V22" s="58" t="s">
        <v>1436</v>
      </c>
      <c r="W22" s="58" t="s">
        <v>57</v>
      </c>
      <c r="X22" s="59">
        <v>2627.5283</v>
      </c>
      <c r="Y22" s="60">
        <v>162.65</v>
      </c>
      <c r="Z22" s="60">
        <v>164.07</v>
      </c>
      <c r="AA22" s="61" t="s">
        <v>1420</v>
      </c>
      <c r="AB22" s="18"/>
      <c r="AC22" s="19"/>
      <c r="AD22" s="19"/>
      <c r="AE22" s="19"/>
      <c r="AF22" s="38"/>
      <c r="AG22" s="38"/>
      <c r="AH22" s="38"/>
    </row>
    <row r="23" s="33" customFormat="1" ht="16" spans="1:34">
      <c r="A23" s="13" t="s">
        <v>39</v>
      </c>
      <c r="B23" s="13" t="s">
        <v>40</v>
      </c>
      <c r="C23" s="13" t="s">
        <v>41</v>
      </c>
      <c r="D23" s="54" t="s">
        <v>42</v>
      </c>
      <c r="E23" s="55"/>
      <c r="F23" s="13" t="s">
        <v>43</v>
      </c>
      <c r="G23" s="13" t="s">
        <v>44</v>
      </c>
      <c r="H23" s="13" t="s">
        <v>45</v>
      </c>
      <c r="I23" s="56" t="s">
        <v>47</v>
      </c>
      <c r="J23" s="54" t="s">
        <v>48</v>
      </c>
      <c r="K23" s="13" t="s">
        <v>49</v>
      </c>
      <c r="L23" s="13">
        <v>18357088762</v>
      </c>
      <c r="M23" s="56" t="s">
        <v>116</v>
      </c>
      <c r="N23" s="54" t="s">
        <v>96</v>
      </c>
      <c r="O23" s="13" t="s">
        <v>97</v>
      </c>
      <c r="P23" s="13">
        <v>13373984718</v>
      </c>
      <c r="Q23" s="54" t="s">
        <v>143</v>
      </c>
      <c r="R23" s="54" t="s">
        <v>99</v>
      </c>
      <c r="S23" s="57" t="s">
        <v>145</v>
      </c>
      <c r="T23" s="57" t="s">
        <v>99</v>
      </c>
      <c r="U23" s="58" t="s">
        <v>1439</v>
      </c>
      <c r="V23" s="58" t="s">
        <v>1436</v>
      </c>
      <c r="W23" s="58" t="s">
        <v>57</v>
      </c>
      <c r="X23" s="59">
        <v>2627.5283</v>
      </c>
      <c r="Y23" s="60">
        <v>32.25</v>
      </c>
      <c r="Z23" s="60">
        <v>32.23</v>
      </c>
      <c r="AA23" s="61" t="s">
        <v>1420</v>
      </c>
      <c r="AB23" s="18"/>
      <c r="AC23" s="19"/>
      <c r="AD23" s="19"/>
      <c r="AE23" s="19"/>
      <c r="AF23" s="38"/>
      <c r="AG23" s="38"/>
      <c r="AH23" s="38"/>
    </row>
    <row r="24" s="33" customFormat="1" spans="1:34">
      <c r="A24" s="13" t="s">
        <v>39</v>
      </c>
      <c r="B24" s="13" t="s">
        <v>40</v>
      </c>
      <c r="C24" s="13" t="s">
        <v>41</v>
      </c>
      <c r="D24" s="54" t="s">
        <v>42</v>
      </c>
      <c r="E24" s="55"/>
      <c r="F24" s="13" t="s">
        <v>43</v>
      </c>
      <c r="G24" s="13" t="s">
        <v>44</v>
      </c>
      <c r="H24" s="13" t="s">
        <v>45</v>
      </c>
      <c r="I24" s="56" t="s">
        <v>47</v>
      </c>
      <c r="J24" s="54" t="s">
        <v>48</v>
      </c>
      <c r="K24" s="13" t="s">
        <v>49</v>
      </c>
      <c r="L24" s="13">
        <v>18357088762</v>
      </c>
      <c r="M24" s="56" t="s">
        <v>173</v>
      </c>
      <c r="N24" s="54" t="s">
        <v>187</v>
      </c>
      <c r="O24" s="13" t="s">
        <v>188</v>
      </c>
      <c r="P24" s="13">
        <v>13735082156</v>
      </c>
      <c r="Q24" s="54" t="s">
        <v>176</v>
      </c>
      <c r="R24" s="54" t="s">
        <v>213</v>
      </c>
      <c r="S24" s="57" t="s">
        <v>178</v>
      </c>
      <c r="T24" s="57" t="s">
        <v>213</v>
      </c>
      <c r="U24" s="58" t="s">
        <v>1440</v>
      </c>
      <c r="V24" s="58" t="s">
        <v>1441</v>
      </c>
      <c r="W24" s="58" t="s">
        <v>57</v>
      </c>
      <c r="X24" s="59">
        <v>2627.5283</v>
      </c>
      <c r="Y24" s="60">
        <v>85.83</v>
      </c>
      <c r="Z24" s="65"/>
      <c r="AA24" s="61" t="s">
        <v>1420</v>
      </c>
      <c r="AB24" s="18"/>
      <c r="AC24" s="19"/>
      <c r="AD24" s="19"/>
      <c r="AE24" s="19"/>
      <c r="AF24" s="38"/>
      <c r="AG24" s="38"/>
      <c r="AH24" s="38"/>
    </row>
    <row r="25" spans="1:34">
      <c r="A25" s="13" t="s">
        <v>39</v>
      </c>
      <c r="B25" s="13" t="s">
        <v>40</v>
      </c>
      <c r="C25" s="13" t="s">
        <v>41</v>
      </c>
      <c r="D25" s="54" t="s">
        <v>42</v>
      </c>
      <c r="E25" s="55"/>
      <c r="F25" s="13" t="s">
        <v>43</v>
      </c>
      <c r="G25" s="13" t="s">
        <v>44</v>
      </c>
      <c r="H25" s="13" t="s">
        <v>45</v>
      </c>
      <c r="I25" s="11" t="s">
        <v>47</v>
      </c>
      <c r="J25" s="54" t="s">
        <v>48</v>
      </c>
      <c r="K25" s="13" t="s">
        <v>49</v>
      </c>
      <c r="L25" s="13">
        <v>18357088762</v>
      </c>
      <c r="M25" s="11" t="s">
        <v>173</v>
      </c>
      <c r="N25" s="54" t="s">
        <v>187</v>
      </c>
      <c r="O25" s="13" t="s">
        <v>188</v>
      </c>
      <c r="P25" s="13">
        <v>13735082156</v>
      </c>
      <c r="Q25" s="54" t="s">
        <v>176</v>
      </c>
      <c r="R25" s="54" t="s">
        <v>213</v>
      </c>
      <c r="S25" s="57" t="s">
        <v>178</v>
      </c>
      <c r="T25" s="57" t="s">
        <v>213</v>
      </c>
      <c r="U25" s="62" t="s">
        <v>1440</v>
      </c>
      <c r="V25" s="58" t="s">
        <v>1441</v>
      </c>
      <c r="W25" s="62" t="s">
        <v>218</v>
      </c>
      <c r="X25" s="66">
        <v>3.38</v>
      </c>
      <c r="Y25" s="60">
        <v>3.37</v>
      </c>
      <c r="Z25" s="60">
        <v>3.37</v>
      </c>
      <c r="AA25" s="61" t="s">
        <v>1420</v>
      </c>
      <c r="AB25" s="18"/>
      <c r="AC25" s="19"/>
      <c r="AD25" s="19"/>
      <c r="AE25" s="19"/>
    </row>
    <row r="26" s="33" customFormat="1" ht="15" customHeight="1" spans="1:34">
      <c r="A26" s="13" t="s">
        <v>39</v>
      </c>
      <c r="B26" s="13" t="s">
        <v>40</v>
      </c>
      <c r="C26" s="13" t="s">
        <v>41</v>
      </c>
      <c r="D26" s="54" t="s">
        <v>42</v>
      </c>
      <c r="E26" s="55"/>
      <c r="F26" s="13" t="s">
        <v>43</v>
      </c>
      <c r="G26" s="13" t="s">
        <v>44</v>
      </c>
      <c r="H26" s="13" t="s">
        <v>45</v>
      </c>
      <c r="I26" s="56" t="s">
        <v>47</v>
      </c>
      <c r="J26" s="54" t="s">
        <v>48</v>
      </c>
      <c r="K26" s="13" t="s">
        <v>49</v>
      </c>
      <c r="L26" s="13">
        <v>18357088762</v>
      </c>
      <c r="M26" s="56" t="s">
        <v>173</v>
      </c>
      <c r="N26" s="54" t="s">
        <v>187</v>
      </c>
      <c r="O26" s="13" t="s">
        <v>188</v>
      </c>
      <c r="P26" s="13">
        <v>13735082156</v>
      </c>
      <c r="Q26" s="54" t="s">
        <v>181</v>
      </c>
      <c r="R26" s="54" t="s">
        <v>197</v>
      </c>
      <c r="S26" s="57" t="s">
        <v>183</v>
      </c>
      <c r="T26" s="57" t="s">
        <v>197</v>
      </c>
      <c r="U26" s="58" t="s">
        <v>1440</v>
      </c>
      <c r="V26" s="58" t="s">
        <v>1441</v>
      </c>
      <c r="W26" s="58" t="s">
        <v>57</v>
      </c>
      <c r="X26" s="59">
        <v>2627.5283</v>
      </c>
      <c r="Y26" s="60">
        <v>51.9</v>
      </c>
      <c r="Z26" s="60">
        <v>51.9</v>
      </c>
      <c r="AA26" s="61" t="s">
        <v>1420</v>
      </c>
      <c r="AB26" s="18"/>
      <c r="AC26" s="19"/>
      <c r="AD26" s="19"/>
      <c r="AE26" s="19"/>
      <c r="AF26" s="38"/>
      <c r="AG26" s="38"/>
      <c r="AH26" s="38"/>
    </row>
    <row r="27" s="33" customFormat="1" spans="1:34">
      <c r="A27" s="13" t="s">
        <v>39</v>
      </c>
      <c r="B27" s="13" t="s">
        <v>40</v>
      </c>
      <c r="C27" s="13" t="s">
        <v>41</v>
      </c>
      <c r="D27" s="54" t="s">
        <v>42</v>
      </c>
      <c r="E27" s="55"/>
      <c r="F27" s="13" t="s">
        <v>43</v>
      </c>
      <c r="G27" s="13" t="s">
        <v>44</v>
      </c>
      <c r="H27" s="13" t="s">
        <v>45</v>
      </c>
      <c r="I27" s="56" t="s">
        <v>47</v>
      </c>
      <c r="J27" s="54" t="s">
        <v>48</v>
      </c>
      <c r="K27" s="13" t="s">
        <v>49</v>
      </c>
      <c r="L27" s="13">
        <v>18357088762</v>
      </c>
      <c r="M27" s="56" t="s">
        <v>173</v>
      </c>
      <c r="N27" s="54" t="s">
        <v>187</v>
      </c>
      <c r="O27" s="13" t="s">
        <v>188</v>
      </c>
      <c r="P27" s="13">
        <v>13735082156</v>
      </c>
      <c r="Q27" s="54" t="s">
        <v>1442</v>
      </c>
      <c r="R27" s="54" t="s">
        <v>209</v>
      </c>
      <c r="S27" s="57" t="s">
        <v>1443</v>
      </c>
      <c r="T27" s="57" t="s">
        <v>209</v>
      </c>
      <c r="U27" s="58" t="s">
        <v>1440</v>
      </c>
      <c r="V27" s="58" t="s">
        <v>1441</v>
      </c>
      <c r="W27" s="58" t="s">
        <v>57</v>
      </c>
      <c r="X27" s="59">
        <v>2627.5283</v>
      </c>
      <c r="Y27" s="60">
        <v>84.6</v>
      </c>
      <c r="Z27" s="60">
        <v>84.5</v>
      </c>
      <c r="AA27" s="61" t="s">
        <v>1420</v>
      </c>
      <c r="AB27" s="18"/>
      <c r="AC27" s="19"/>
      <c r="AD27" s="19"/>
      <c r="AE27" s="19"/>
      <c r="AF27" s="38"/>
      <c r="AG27" s="38"/>
      <c r="AH27" s="38"/>
    </row>
    <row r="28" s="33" customFormat="1" spans="1:34">
      <c r="A28" s="13" t="s">
        <v>39</v>
      </c>
      <c r="B28" s="13" t="s">
        <v>40</v>
      </c>
      <c r="C28" s="13" t="s">
        <v>41</v>
      </c>
      <c r="D28" s="54" t="s">
        <v>42</v>
      </c>
      <c r="E28" s="55"/>
      <c r="F28" s="13" t="s">
        <v>43</v>
      </c>
      <c r="G28" s="13" t="s">
        <v>44</v>
      </c>
      <c r="H28" s="13" t="s">
        <v>45</v>
      </c>
      <c r="I28" s="56" t="s">
        <v>47</v>
      </c>
      <c r="J28" s="54" t="s">
        <v>48</v>
      </c>
      <c r="K28" s="13" t="s">
        <v>49</v>
      </c>
      <c r="L28" s="13">
        <v>18357088762</v>
      </c>
      <c r="M28" s="56" t="s">
        <v>173</v>
      </c>
      <c r="N28" s="54" t="s">
        <v>187</v>
      </c>
      <c r="O28" s="13" t="s">
        <v>188</v>
      </c>
      <c r="P28" s="13">
        <v>13735082156</v>
      </c>
      <c r="Q28" s="54" t="s">
        <v>1444</v>
      </c>
      <c r="R28" s="54" t="s">
        <v>193</v>
      </c>
      <c r="S28" s="57" t="s">
        <v>1445</v>
      </c>
      <c r="T28" s="57" t="s">
        <v>193</v>
      </c>
      <c r="U28" s="58" t="s">
        <v>1440</v>
      </c>
      <c r="V28" s="58" t="s">
        <v>1441</v>
      </c>
      <c r="W28" s="58" t="s">
        <v>57</v>
      </c>
      <c r="X28" s="59">
        <v>2627.5283</v>
      </c>
      <c r="Y28" s="60">
        <v>81.06</v>
      </c>
      <c r="Z28" s="60">
        <v>80.98</v>
      </c>
      <c r="AA28" s="61" t="s">
        <v>1420</v>
      </c>
      <c r="AB28" s="18"/>
      <c r="AC28" s="19"/>
      <c r="AD28" s="19"/>
      <c r="AE28" s="19"/>
      <c r="AF28" s="38"/>
      <c r="AG28" s="38"/>
      <c r="AH28" s="38"/>
    </row>
    <row r="29" s="33" customFormat="1" spans="1:34">
      <c r="A29" s="13" t="s">
        <v>39</v>
      </c>
      <c r="B29" s="13" t="s">
        <v>40</v>
      </c>
      <c r="C29" s="13" t="s">
        <v>41</v>
      </c>
      <c r="D29" s="54" t="s">
        <v>42</v>
      </c>
      <c r="E29" s="55"/>
      <c r="F29" s="13" t="s">
        <v>43</v>
      </c>
      <c r="G29" s="13" t="s">
        <v>44</v>
      </c>
      <c r="H29" s="13" t="s">
        <v>45</v>
      </c>
      <c r="I29" s="56" t="s">
        <v>47</v>
      </c>
      <c r="J29" s="54" t="s">
        <v>48</v>
      </c>
      <c r="K29" s="13" t="s">
        <v>49</v>
      </c>
      <c r="L29" s="13">
        <v>18357088762</v>
      </c>
      <c r="M29" s="56" t="s">
        <v>173</v>
      </c>
      <c r="N29" s="54" t="s">
        <v>187</v>
      </c>
      <c r="O29" s="13" t="s">
        <v>188</v>
      </c>
      <c r="P29" s="13">
        <v>13735082156</v>
      </c>
      <c r="Q29" s="54" t="s">
        <v>1446</v>
      </c>
      <c r="R29" s="54" t="s">
        <v>187</v>
      </c>
      <c r="S29" s="57" t="s">
        <v>1447</v>
      </c>
      <c r="T29" s="57" t="s">
        <v>187</v>
      </c>
      <c r="U29" s="58" t="s">
        <v>1440</v>
      </c>
      <c r="V29" s="58" t="s">
        <v>1441</v>
      </c>
      <c r="W29" s="58" t="s">
        <v>57</v>
      </c>
      <c r="X29" s="59">
        <v>2627.5283</v>
      </c>
      <c r="Y29" s="60">
        <v>86.15</v>
      </c>
      <c r="Z29" s="60">
        <v>86.01</v>
      </c>
      <c r="AA29" s="61" t="s">
        <v>1420</v>
      </c>
      <c r="AB29" s="18"/>
      <c r="AC29" s="19"/>
      <c r="AD29" s="19"/>
      <c r="AE29" s="19"/>
      <c r="AF29" s="38"/>
      <c r="AG29" s="38"/>
      <c r="AH29" s="38"/>
    </row>
    <row r="30" s="33" customFormat="1" spans="1:34">
      <c r="A30" s="13" t="s">
        <v>39</v>
      </c>
      <c r="B30" s="13" t="s">
        <v>40</v>
      </c>
      <c r="C30" s="13" t="s">
        <v>41</v>
      </c>
      <c r="D30" s="54" t="s">
        <v>42</v>
      </c>
      <c r="E30" s="55"/>
      <c r="F30" s="13" t="s">
        <v>43</v>
      </c>
      <c r="G30" s="13" t="s">
        <v>44</v>
      </c>
      <c r="H30" s="13" t="s">
        <v>45</v>
      </c>
      <c r="I30" s="56" t="s">
        <v>47</v>
      </c>
      <c r="J30" s="54" t="s">
        <v>48</v>
      </c>
      <c r="K30" s="13" t="s">
        <v>49</v>
      </c>
      <c r="L30" s="13">
        <v>18357088762</v>
      </c>
      <c r="M30" s="56" t="s">
        <v>173</v>
      </c>
      <c r="N30" s="54" t="s">
        <v>187</v>
      </c>
      <c r="O30" s="13" t="s">
        <v>188</v>
      </c>
      <c r="P30" s="13">
        <v>13735082156</v>
      </c>
      <c r="Q30" s="54" t="s">
        <v>1448</v>
      </c>
      <c r="R30" s="54" t="s">
        <v>205</v>
      </c>
      <c r="S30" s="57" t="s">
        <v>1449</v>
      </c>
      <c r="T30" s="57" t="s">
        <v>1450</v>
      </c>
      <c r="U30" s="58" t="s">
        <v>1440</v>
      </c>
      <c r="V30" s="58" t="s">
        <v>1441</v>
      </c>
      <c r="W30" s="58" t="s">
        <v>57</v>
      </c>
      <c r="X30" s="59">
        <v>2627.5283</v>
      </c>
      <c r="Y30" s="60">
        <v>87.18</v>
      </c>
      <c r="Z30" s="60">
        <v>87.15</v>
      </c>
      <c r="AA30" s="61" t="s">
        <v>1420</v>
      </c>
      <c r="AB30" s="18"/>
      <c r="AC30" s="19"/>
      <c r="AD30" s="19"/>
      <c r="AE30" s="19"/>
      <c r="AF30" s="38"/>
      <c r="AG30" s="38"/>
      <c r="AH30" s="38"/>
    </row>
    <row r="31" s="33" customFormat="1" spans="1:34">
      <c r="A31" s="13" t="s">
        <v>39</v>
      </c>
      <c r="B31" s="13" t="s">
        <v>40</v>
      </c>
      <c r="C31" s="13" t="s">
        <v>41</v>
      </c>
      <c r="D31" s="54" t="s">
        <v>42</v>
      </c>
      <c r="E31" s="55"/>
      <c r="F31" s="13" t="s">
        <v>43</v>
      </c>
      <c r="G31" s="13" t="s">
        <v>44</v>
      </c>
      <c r="H31" s="13" t="s">
        <v>45</v>
      </c>
      <c r="I31" s="56" t="s">
        <v>47</v>
      </c>
      <c r="J31" s="54" t="s">
        <v>48</v>
      </c>
      <c r="K31" s="13" t="s">
        <v>49</v>
      </c>
      <c r="L31" s="13">
        <v>18357088762</v>
      </c>
      <c r="M31" s="56" t="s">
        <v>173</v>
      </c>
      <c r="N31" s="54" t="s">
        <v>187</v>
      </c>
      <c r="O31" s="13" t="s">
        <v>188</v>
      </c>
      <c r="P31" s="13">
        <v>13735082156</v>
      </c>
      <c r="Q31" s="54" t="s">
        <v>1448</v>
      </c>
      <c r="R31" s="54" t="s">
        <v>205</v>
      </c>
      <c r="S31" s="57" t="s">
        <v>1451</v>
      </c>
      <c r="T31" s="57" t="s">
        <v>1452</v>
      </c>
      <c r="U31" s="58" t="s">
        <v>1440</v>
      </c>
      <c r="V31" s="58" t="s">
        <v>1441</v>
      </c>
      <c r="W31" s="58" t="s">
        <v>57</v>
      </c>
      <c r="X31" s="59">
        <v>2627.5283</v>
      </c>
      <c r="Y31"/>
      <c r="Z31"/>
      <c r="AA31" s="61" t="s">
        <v>1420</v>
      </c>
      <c r="AB31" s="18"/>
      <c r="AC31" s="19"/>
      <c r="AD31" s="19"/>
      <c r="AE31" s="19"/>
      <c r="AF31" s="38"/>
      <c r="AG31" s="38"/>
      <c r="AH31" s="38"/>
    </row>
    <row r="32" s="33" customFormat="1" spans="1:34">
      <c r="A32" s="13" t="s">
        <v>39</v>
      </c>
      <c r="B32" s="13" t="s">
        <v>40</v>
      </c>
      <c r="C32" s="13" t="s">
        <v>41</v>
      </c>
      <c r="D32" s="54" t="s">
        <v>42</v>
      </c>
      <c r="E32" s="55"/>
      <c r="F32" s="13" t="s">
        <v>43</v>
      </c>
      <c r="G32" s="13" t="s">
        <v>44</v>
      </c>
      <c r="H32" s="13" t="s">
        <v>45</v>
      </c>
      <c r="I32" s="56" t="s">
        <v>47</v>
      </c>
      <c r="J32" s="54" t="s">
        <v>48</v>
      </c>
      <c r="K32" s="13" t="s">
        <v>49</v>
      </c>
      <c r="L32" s="13">
        <v>18357088762</v>
      </c>
      <c r="M32" s="56" t="s">
        <v>186</v>
      </c>
      <c r="N32" s="54" t="s">
        <v>290</v>
      </c>
      <c r="O32" s="13" t="s">
        <v>291</v>
      </c>
      <c r="P32" s="13">
        <v>18957023139</v>
      </c>
      <c r="Q32" s="54" t="s">
        <v>189</v>
      </c>
      <c r="R32" s="54" t="s">
        <v>309</v>
      </c>
      <c r="S32" s="57" t="s">
        <v>190</v>
      </c>
      <c r="T32" s="57" t="s">
        <v>309</v>
      </c>
      <c r="U32" s="58" t="s">
        <v>1453</v>
      </c>
      <c r="V32" s="58" t="s">
        <v>1436</v>
      </c>
      <c r="W32" s="58" t="s">
        <v>57</v>
      </c>
      <c r="X32" s="59">
        <v>2627.5283</v>
      </c>
      <c r="Y32" s="60">
        <v>34.98</v>
      </c>
      <c r="Z32" s="60">
        <v>35.01</v>
      </c>
      <c r="AA32" s="61" t="s">
        <v>1420</v>
      </c>
      <c r="AB32" s="18"/>
      <c r="AC32" s="19"/>
      <c r="AD32" s="19"/>
      <c r="AE32" s="19"/>
      <c r="AF32" s="38"/>
      <c r="AG32" s="38"/>
      <c r="AH32" s="38"/>
    </row>
    <row r="33" s="33" customFormat="1" spans="1:34">
      <c r="A33" s="13" t="s">
        <v>39</v>
      </c>
      <c r="B33" s="13" t="s">
        <v>40</v>
      </c>
      <c r="C33" s="13" t="s">
        <v>41</v>
      </c>
      <c r="D33" s="54" t="s">
        <v>42</v>
      </c>
      <c r="E33" s="55"/>
      <c r="F33" s="13" t="s">
        <v>43</v>
      </c>
      <c r="G33" s="13" t="s">
        <v>44</v>
      </c>
      <c r="H33" s="13" t="s">
        <v>45</v>
      </c>
      <c r="I33" s="56" t="s">
        <v>47</v>
      </c>
      <c r="J33" s="54" t="s">
        <v>48</v>
      </c>
      <c r="K33" s="13" t="s">
        <v>49</v>
      </c>
      <c r="L33" s="13">
        <v>18357088762</v>
      </c>
      <c r="M33" s="56" t="s">
        <v>186</v>
      </c>
      <c r="N33" s="54" t="s">
        <v>290</v>
      </c>
      <c r="O33" s="13" t="s">
        <v>291</v>
      </c>
      <c r="P33" s="13">
        <v>18957023139</v>
      </c>
      <c r="Q33" s="54" t="s">
        <v>192</v>
      </c>
      <c r="R33" s="54" t="s">
        <v>209</v>
      </c>
      <c r="S33" s="57" t="s">
        <v>194</v>
      </c>
      <c r="T33" s="57" t="s">
        <v>209</v>
      </c>
      <c r="U33" s="58" t="s">
        <v>1453</v>
      </c>
      <c r="V33" s="58" t="s">
        <v>1436</v>
      </c>
      <c r="W33" s="58" t="s">
        <v>57</v>
      </c>
      <c r="X33" s="59">
        <v>2627.5283</v>
      </c>
      <c r="Y33" s="60">
        <v>243.06</v>
      </c>
      <c r="Z33" s="60">
        <v>243.26</v>
      </c>
      <c r="AA33" s="61" t="s">
        <v>1420</v>
      </c>
      <c r="AB33" s="18"/>
      <c r="AC33" s="19"/>
      <c r="AD33" s="19"/>
      <c r="AE33" s="19"/>
      <c r="AF33" s="38"/>
      <c r="AG33" s="38"/>
      <c r="AH33" s="38"/>
    </row>
    <row r="34" s="33" customFormat="1" spans="1:34">
      <c r="A34" s="13" t="s">
        <v>39</v>
      </c>
      <c r="B34" s="13" t="s">
        <v>40</v>
      </c>
      <c r="C34" s="13" t="s">
        <v>41</v>
      </c>
      <c r="D34" s="54" t="s">
        <v>42</v>
      </c>
      <c r="E34" s="55"/>
      <c r="F34" s="13" t="s">
        <v>43</v>
      </c>
      <c r="G34" s="13" t="s">
        <v>44</v>
      </c>
      <c r="H34" s="13" t="s">
        <v>45</v>
      </c>
      <c r="I34" s="56" t="s">
        <v>47</v>
      </c>
      <c r="J34" s="54" t="s">
        <v>48</v>
      </c>
      <c r="K34" s="13" t="s">
        <v>49</v>
      </c>
      <c r="L34" s="13">
        <v>18357088762</v>
      </c>
      <c r="M34" s="56" t="s">
        <v>186</v>
      </c>
      <c r="N34" s="54" t="s">
        <v>290</v>
      </c>
      <c r="O34" s="13" t="s">
        <v>291</v>
      </c>
      <c r="P34" s="13">
        <v>18957023139</v>
      </c>
      <c r="Q34" s="54" t="s">
        <v>200</v>
      </c>
      <c r="R34" s="54" t="s">
        <v>1454</v>
      </c>
      <c r="S34" s="57" t="s">
        <v>202</v>
      </c>
      <c r="T34" s="57" t="s">
        <v>1454</v>
      </c>
      <c r="U34" s="58" t="s">
        <v>1453</v>
      </c>
      <c r="V34" s="58" t="s">
        <v>1436</v>
      </c>
      <c r="W34" s="58" t="s">
        <v>57</v>
      </c>
      <c r="X34" s="59">
        <v>2627.5283</v>
      </c>
      <c r="Y34" s="60">
        <v>149.05</v>
      </c>
      <c r="Z34" s="60">
        <v>149.19</v>
      </c>
      <c r="AA34" s="61" t="s">
        <v>1420</v>
      </c>
      <c r="AB34" s="18"/>
      <c r="AC34" s="19"/>
      <c r="AD34" s="19"/>
      <c r="AE34" s="19"/>
      <c r="AF34" s="38"/>
      <c r="AG34" s="38"/>
      <c r="AH34" s="38"/>
    </row>
    <row r="35" s="33" customFormat="1" spans="1:34">
      <c r="A35" s="13" t="s">
        <v>39</v>
      </c>
      <c r="B35" s="13" t="s">
        <v>40</v>
      </c>
      <c r="C35" s="13" t="s">
        <v>41</v>
      </c>
      <c r="D35" s="54" t="s">
        <v>42</v>
      </c>
      <c r="E35" s="55"/>
      <c r="F35" s="13" t="s">
        <v>43</v>
      </c>
      <c r="G35" s="13" t="s">
        <v>44</v>
      </c>
      <c r="H35" s="13" t="s">
        <v>45</v>
      </c>
      <c r="I35" s="56" t="s">
        <v>47</v>
      </c>
      <c r="J35" s="54" t="s">
        <v>48</v>
      </c>
      <c r="K35" s="13" t="s">
        <v>49</v>
      </c>
      <c r="L35" s="13">
        <v>18357088762</v>
      </c>
      <c r="M35" s="56" t="s">
        <v>186</v>
      </c>
      <c r="N35" s="54" t="s">
        <v>290</v>
      </c>
      <c r="O35" s="13" t="s">
        <v>291</v>
      </c>
      <c r="P35" s="13">
        <v>18957023139</v>
      </c>
      <c r="Q35" s="54" t="s">
        <v>204</v>
      </c>
      <c r="R35" s="54" t="s">
        <v>1455</v>
      </c>
      <c r="S35" s="57" t="s">
        <v>206</v>
      </c>
      <c r="T35" s="57" t="s">
        <v>1455</v>
      </c>
      <c r="U35" s="58" t="s">
        <v>1453</v>
      </c>
      <c r="V35" s="58" t="s">
        <v>1436</v>
      </c>
      <c r="W35" s="58" t="s">
        <v>57</v>
      </c>
      <c r="X35" s="59">
        <v>2627.5283</v>
      </c>
      <c r="Y35" s="60">
        <v>69.61</v>
      </c>
      <c r="Z35" s="60">
        <v>69.62</v>
      </c>
      <c r="AA35" s="61" t="s">
        <v>1420</v>
      </c>
      <c r="AB35" s="18"/>
      <c r="AC35" s="19"/>
      <c r="AD35" s="19"/>
      <c r="AE35" s="19"/>
      <c r="AF35" s="38"/>
      <c r="AG35" s="38"/>
      <c r="AH35" s="38"/>
    </row>
    <row r="36" s="33" customFormat="1" spans="1:34">
      <c r="A36" s="13" t="s">
        <v>39</v>
      </c>
      <c r="B36" s="13" t="s">
        <v>40</v>
      </c>
      <c r="C36" s="13" t="s">
        <v>41</v>
      </c>
      <c r="D36" s="54" t="s">
        <v>42</v>
      </c>
      <c r="E36" s="55"/>
      <c r="F36" s="13" t="s">
        <v>43</v>
      </c>
      <c r="G36" s="13" t="s">
        <v>44</v>
      </c>
      <c r="H36" s="13" t="s">
        <v>45</v>
      </c>
      <c r="I36" s="56" t="s">
        <v>47</v>
      </c>
      <c r="J36" s="54" t="s">
        <v>48</v>
      </c>
      <c r="K36" s="13" t="s">
        <v>49</v>
      </c>
      <c r="L36" s="13">
        <v>18357088762</v>
      </c>
      <c r="M36" s="56" t="s">
        <v>186</v>
      </c>
      <c r="N36" s="54" t="s">
        <v>290</v>
      </c>
      <c r="O36" s="13" t="s">
        <v>291</v>
      </c>
      <c r="P36" s="13">
        <v>18957023139</v>
      </c>
      <c r="Q36" s="54" t="s">
        <v>208</v>
      </c>
      <c r="R36" s="54" t="s">
        <v>293</v>
      </c>
      <c r="S36" s="57" t="s">
        <v>210</v>
      </c>
      <c r="T36" s="57" t="s">
        <v>293</v>
      </c>
      <c r="U36" s="58" t="s">
        <v>1453</v>
      </c>
      <c r="V36" s="58" t="s">
        <v>1436</v>
      </c>
      <c r="W36" s="58" t="s">
        <v>57</v>
      </c>
      <c r="X36" s="59">
        <v>2627.5283</v>
      </c>
      <c r="Y36" s="60">
        <v>65.21</v>
      </c>
      <c r="Z36" s="60">
        <v>61.69</v>
      </c>
      <c r="AA36" s="61" t="s">
        <v>1420</v>
      </c>
      <c r="AB36" s="18"/>
      <c r="AC36" s="19"/>
      <c r="AD36" s="19"/>
      <c r="AE36" s="19"/>
      <c r="AF36" s="38"/>
      <c r="AG36" s="38"/>
      <c r="AH36" s="38"/>
    </row>
    <row r="37" s="33" customFormat="1" spans="1:34">
      <c r="A37" s="13" t="s">
        <v>39</v>
      </c>
      <c r="B37" s="13" t="s">
        <v>40</v>
      </c>
      <c r="C37" s="13" t="s">
        <v>41</v>
      </c>
      <c r="D37" s="54" t="s">
        <v>219</v>
      </c>
      <c r="E37" s="55"/>
      <c r="F37" s="13" t="s">
        <v>43</v>
      </c>
      <c r="G37" s="13" t="s">
        <v>44</v>
      </c>
      <c r="H37" s="13" t="s">
        <v>45</v>
      </c>
      <c r="I37" s="56" t="s">
        <v>47</v>
      </c>
      <c r="J37" s="54" t="s">
        <v>48</v>
      </c>
      <c r="K37" s="13" t="s">
        <v>49</v>
      </c>
      <c r="L37" s="13">
        <v>18357088762</v>
      </c>
      <c r="M37" s="56" t="s">
        <v>220</v>
      </c>
      <c r="N37" s="54" t="s">
        <v>221</v>
      </c>
      <c r="O37" s="13" t="s">
        <v>222</v>
      </c>
      <c r="P37" s="13">
        <v>15857026038</v>
      </c>
      <c r="Q37" s="54" t="s">
        <v>228</v>
      </c>
      <c r="R37" s="54" t="s">
        <v>244</v>
      </c>
      <c r="S37" s="57" t="s">
        <v>230</v>
      </c>
      <c r="T37" s="57" t="s">
        <v>244</v>
      </c>
      <c r="U37" s="58" t="s">
        <v>1456</v>
      </c>
      <c r="V37" s="58" t="s">
        <v>1457</v>
      </c>
      <c r="W37" s="58" t="s">
        <v>232</v>
      </c>
      <c r="X37" s="67">
        <v>89.60589</v>
      </c>
      <c r="Y37" s="60">
        <v>24.14</v>
      </c>
      <c r="Z37" s="60">
        <v>23.33</v>
      </c>
      <c r="AA37" s="61" t="s">
        <v>1420</v>
      </c>
      <c r="AB37" s="18"/>
      <c r="AC37" s="19"/>
      <c r="AD37" s="19"/>
      <c r="AE37" s="19"/>
      <c r="AF37" s="38"/>
      <c r="AG37" s="38"/>
      <c r="AH37" s="38"/>
    </row>
    <row r="38" spans="1:34">
      <c r="A38" s="13" t="s">
        <v>39</v>
      </c>
      <c r="B38" s="13" t="s">
        <v>40</v>
      </c>
      <c r="C38" s="13" t="s">
        <v>41</v>
      </c>
      <c r="D38" s="54" t="s">
        <v>219</v>
      </c>
      <c r="E38" s="55"/>
      <c r="F38" s="13" t="s">
        <v>43</v>
      </c>
      <c r="G38" s="13" t="s">
        <v>44</v>
      </c>
      <c r="H38" s="13" t="s">
        <v>45</v>
      </c>
      <c r="I38" s="56" t="s">
        <v>47</v>
      </c>
      <c r="J38" s="54" t="s">
        <v>48</v>
      </c>
      <c r="K38" s="13" t="s">
        <v>49</v>
      </c>
      <c r="L38" s="13">
        <v>18357088762</v>
      </c>
      <c r="M38" s="56" t="s">
        <v>220</v>
      </c>
      <c r="N38" s="54" t="s">
        <v>221</v>
      </c>
      <c r="O38" s="13" t="s">
        <v>222</v>
      </c>
      <c r="P38" s="13">
        <v>15857026038</v>
      </c>
      <c r="Q38" s="54"/>
      <c r="R38" s="54" t="s">
        <v>229</v>
      </c>
      <c r="S38" s="57"/>
      <c r="T38" s="57" t="s">
        <v>229</v>
      </c>
      <c r="U38" s="62"/>
      <c r="V38" s="58"/>
      <c r="W38" s="62" t="s">
        <v>232</v>
      </c>
      <c r="X38" s="67">
        <v>89.60589</v>
      </c>
      <c r="Y38" s="60">
        <v>83.9</v>
      </c>
      <c r="Z38" s="60">
        <v>81.57</v>
      </c>
      <c r="AA38" s="61" t="s">
        <v>1420</v>
      </c>
      <c r="AB38" s="18"/>
      <c r="AC38" s="19"/>
      <c r="AD38" s="19"/>
      <c r="AE38" s="19"/>
    </row>
    <row r="39" spans="1:34">
      <c r="A39" s="13" t="s">
        <v>39</v>
      </c>
      <c r="B39" s="13" t="s">
        <v>40</v>
      </c>
      <c r="C39" s="13" t="s">
        <v>41</v>
      </c>
      <c r="D39" s="54" t="s">
        <v>219</v>
      </c>
      <c r="E39" s="55"/>
      <c r="F39" s="13" t="s">
        <v>43</v>
      </c>
      <c r="G39" s="13" t="s">
        <v>44</v>
      </c>
      <c r="H39" s="13" t="s">
        <v>45</v>
      </c>
      <c r="I39" s="56" t="s">
        <v>47</v>
      </c>
      <c r="J39" s="54" t="s">
        <v>48</v>
      </c>
      <c r="K39" s="13" t="s">
        <v>49</v>
      </c>
      <c r="L39" s="13">
        <v>18357088762</v>
      </c>
      <c r="M39" s="56" t="s">
        <v>220</v>
      </c>
      <c r="N39" s="54" t="s">
        <v>221</v>
      </c>
      <c r="O39" s="13" t="s">
        <v>222</v>
      </c>
      <c r="P39" s="13">
        <v>15857026038</v>
      </c>
      <c r="Q39" s="54"/>
      <c r="R39" s="54" t="s">
        <v>237</v>
      </c>
      <c r="S39" s="57"/>
      <c r="T39" s="57" t="s">
        <v>237</v>
      </c>
      <c r="U39" s="62"/>
      <c r="V39" s="58"/>
      <c r="W39" s="62" t="s">
        <v>232</v>
      </c>
      <c r="X39" s="67">
        <v>89.60589</v>
      </c>
      <c r="Y39" s="60">
        <v>3.48</v>
      </c>
      <c r="Z39" s="60">
        <v>3.47</v>
      </c>
      <c r="AA39" s="61" t="s">
        <v>1420</v>
      </c>
      <c r="AB39" s="18"/>
      <c r="AC39" s="19"/>
      <c r="AD39" s="19"/>
      <c r="AE39" s="19"/>
    </row>
    <row r="40" spans="1:34">
      <c r="A40" s="13" t="s">
        <v>39</v>
      </c>
      <c r="B40" s="13" t="s">
        <v>40</v>
      </c>
      <c r="C40" s="13" t="s">
        <v>41</v>
      </c>
      <c r="D40" s="54" t="s">
        <v>219</v>
      </c>
      <c r="E40" s="55"/>
      <c r="F40" s="13" t="s">
        <v>43</v>
      </c>
      <c r="G40" s="13" t="s">
        <v>44</v>
      </c>
      <c r="H40" s="13" t="s">
        <v>45</v>
      </c>
      <c r="I40" s="11" t="s">
        <v>47</v>
      </c>
      <c r="J40" s="54" t="s">
        <v>48</v>
      </c>
      <c r="K40" s="13" t="s">
        <v>49</v>
      </c>
      <c r="L40" s="13">
        <v>18357088762</v>
      </c>
      <c r="M40" s="11" t="s">
        <v>220</v>
      </c>
      <c r="N40" s="54" t="s">
        <v>221</v>
      </c>
      <c r="O40" s="13" t="s">
        <v>222</v>
      </c>
      <c r="P40" s="13">
        <v>15857026038</v>
      </c>
      <c r="Q40" s="54" t="s">
        <v>252</v>
      </c>
      <c r="R40" s="54" t="s">
        <v>244</v>
      </c>
      <c r="S40" s="57" t="s">
        <v>254</v>
      </c>
      <c r="T40" s="57" t="s">
        <v>1458</v>
      </c>
      <c r="U40" s="62" t="s">
        <v>1456</v>
      </c>
      <c r="V40" s="58" t="s">
        <v>1457</v>
      </c>
      <c r="W40" s="62" t="s">
        <v>227</v>
      </c>
      <c r="X40" s="67">
        <v>138.39411</v>
      </c>
      <c r="Y40" s="60">
        <v>119.09</v>
      </c>
      <c r="Z40" s="60">
        <v>111.6</v>
      </c>
      <c r="AA40" s="61" t="s">
        <v>1420</v>
      </c>
      <c r="AB40" s="18"/>
      <c r="AC40" s="19"/>
      <c r="AD40" s="19"/>
      <c r="AE40" s="19"/>
    </row>
    <row r="41" s="33" customFormat="1" spans="1:34">
      <c r="A41" s="13" t="s">
        <v>39</v>
      </c>
      <c r="B41" s="13" t="s">
        <v>40</v>
      </c>
      <c r="C41" s="13" t="s">
        <v>41</v>
      </c>
      <c r="D41" s="54" t="s">
        <v>219</v>
      </c>
      <c r="E41" s="55"/>
      <c r="F41" s="13" t="s">
        <v>43</v>
      </c>
      <c r="G41" s="13" t="s">
        <v>44</v>
      </c>
      <c r="H41" s="13" t="s">
        <v>45</v>
      </c>
      <c r="I41" s="56" t="s">
        <v>47</v>
      </c>
      <c r="J41" s="54" t="s">
        <v>48</v>
      </c>
      <c r="K41" s="13" t="s">
        <v>49</v>
      </c>
      <c r="L41" s="13">
        <v>18357088762</v>
      </c>
      <c r="M41" s="56" t="s">
        <v>220</v>
      </c>
      <c r="N41" s="54" t="s">
        <v>221</v>
      </c>
      <c r="O41" s="13" t="s">
        <v>222</v>
      </c>
      <c r="P41" s="13">
        <v>15857026038</v>
      </c>
      <c r="Q41" s="54" t="s">
        <v>256</v>
      </c>
      <c r="R41" s="54" t="s">
        <v>266</v>
      </c>
      <c r="S41" s="57" t="s">
        <v>258</v>
      </c>
      <c r="T41" s="57" t="s">
        <v>266</v>
      </c>
      <c r="U41" s="58" t="s">
        <v>1456</v>
      </c>
      <c r="V41" s="58" t="s">
        <v>1457</v>
      </c>
      <c r="W41" s="58" t="s">
        <v>232</v>
      </c>
      <c r="X41" s="67">
        <v>89.60589</v>
      </c>
      <c r="Y41" s="60">
        <v>2.87</v>
      </c>
      <c r="Z41" s="60">
        <v>2.87</v>
      </c>
      <c r="AA41" s="61" t="s">
        <v>1420</v>
      </c>
      <c r="AB41" s="18"/>
      <c r="AC41" s="19"/>
      <c r="AD41" s="19"/>
      <c r="AE41" s="19"/>
      <c r="AF41" s="38"/>
      <c r="AG41" s="38"/>
      <c r="AH41" s="38"/>
    </row>
    <row r="42" spans="1:34">
      <c r="A42" s="13" t="s">
        <v>39</v>
      </c>
      <c r="B42" s="13" t="s">
        <v>40</v>
      </c>
      <c r="C42" s="13" t="s">
        <v>41</v>
      </c>
      <c r="D42" s="54" t="s">
        <v>219</v>
      </c>
      <c r="E42" s="55"/>
      <c r="F42" s="13" t="s">
        <v>43</v>
      </c>
      <c r="G42" s="13" t="s">
        <v>44</v>
      </c>
      <c r="H42" s="13" t="s">
        <v>45</v>
      </c>
      <c r="I42" s="11" t="s">
        <v>47</v>
      </c>
      <c r="J42" s="54" t="s">
        <v>48</v>
      </c>
      <c r="K42" s="13" t="s">
        <v>49</v>
      </c>
      <c r="L42" s="13">
        <v>18357088762</v>
      </c>
      <c r="M42" s="11" t="s">
        <v>220</v>
      </c>
      <c r="N42" s="54" t="s">
        <v>221</v>
      </c>
      <c r="O42" s="13" t="s">
        <v>222</v>
      </c>
      <c r="P42" s="13">
        <v>15857026038</v>
      </c>
      <c r="Q42" s="54" t="s">
        <v>261</v>
      </c>
      <c r="R42" s="54" t="s">
        <v>237</v>
      </c>
      <c r="S42" s="57" t="s">
        <v>263</v>
      </c>
      <c r="T42" s="57" t="s">
        <v>237</v>
      </c>
      <c r="U42" s="62" t="s">
        <v>1456</v>
      </c>
      <c r="V42" s="58" t="s">
        <v>1457</v>
      </c>
      <c r="W42" s="62" t="s">
        <v>242</v>
      </c>
      <c r="X42" s="67">
        <v>101.7</v>
      </c>
      <c r="Y42" s="60">
        <v>81.39</v>
      </c>
      <c r="Z42" s="60">
        <v>77.78</v>
      </c>
      <c r="AA42" s="61" t="s">
        <v>1420</v>
      </c>
      <c r="AB42" s="18"/>
      <c r="AC42" s="19"/>
      <c r="AD42" s="19"/>
      <c r="AE42" s="19"/>
    </row>
    <row r="43" spans="1:34">
      <c r="A43" s="13" t="s">
        <v>39</v>
      </c>
      <c r="B43" s="13" t="s">
        <v>40</v>
      </c>
      <c r="C43" s="13" t="s">
        <v>41</v>
      </c>
      <c r="D43" s="54" t="s">
        <v>219</v>
      </c>
      <c r="E43" s="55"/>
      <c r="F43" s="13" t="s">
        <v>43</v>
      </c>
      <c r="G43" s="13" t="s">
        <v>44</v>
      </c>
      <c r="H43" s="13" t="s">
        <v>45</v>
      </c>
      <c r="I43" s="11" t="s">
        <v>47</v>
      </c>
      <c r="J43" s="54" t="s">
        <v>48</v>
      </c>
      <c r="K43" s="13" t="s">
        <v>49</v>
      </c>
      <c r="L43" s="13">
        <v>18357088762</v>
      </c>
      <c r="M43" s="11" t="s">
        <v>220</v>
      </c>
      <c r="N43" s="54" t="s">
        <v>221</v>
      </c>
      <c r="O43" s="13" t="s">
        <v>222</v>
      </c>
      <c r="P43" s="13">
        <v>15857026038</v>
      </c>
      <c r="Q43" s="54" t="s">
        <v>265</v>
      </c>
      <c r="R43" s="54" t="s">
        <v>253</v>
      </c>
      <c r="S43" s="57" t="s">
        <v>267</v>
      </c>
      <c r="T43" s="57" t="s">
        <v>253</v>
      </c>
      <c r="U43" s="62" t="s">
        <v>1459</v>
      </c>
      <c r="V43" s="58" t="s">
        <v>1457</v>
      </c>
      <c r="W43" s="68"/>
      <c r="X43" s="67"/>
      <c r="Y43" s="60">
        <v>127.44</v>
      </c>
      <c r="Z43" s="60">
        <v>122.64</v>
      </c>
      <c r="AA43" s="61"/>
      <c r="AB43" s="18"/>
      <c r="AC43" s="19"/>
      <c r="AD43" s="19"/>
      <c r="AE43" s="19"/>
    </row>
    <row r="44" spans="1:34">
      <c r="A44" s="13" t="s">
        <v>39</v>
      </c>
      <c r="B44" s="13" t="s">
        <v>40</v>
      </c>
      <c r="C44" s="13" t="s">
        <v>41</v>
      </c>
      <c r="D44" s="54" t="s">
        <v>219</v>
      </c>
      <c r="E44" s="55"/>
      <c r="F44" s="13" t="s">
        <v>43</v>
      </c>
      <c r="G44" s="13" t="s">
        <v>44</v>
      </c>
      <c r="H44" s="13" t="s">
        <v>45</v>
      </c>
      <c r="I44" s="11" t="s">
        <v>47</v>
      </c>
      <c r="J44" s="54" t="s">
        <v>48</v>
      </c>
      <c r="K44" s="13" t="s">
        <v>49</v>
      </c>
      <c r="L44" s="13">
        <v>18357088762</v>
      </c>
      <c r="M44" s="11" t="s">
        <v>220</v>
      </c>
      <c r="N44" s="54" t="s">
        <v>221</v>
      </c>
      <c r="O44" s="13" t="s">
        <v>222</v>
      </c>
      <c r="P44" s="13">
        <v>15857026038</v>
      </c>
      <c r="Q44" s="54"/>
      <c r="R44" s="54" t="s">
        <v>257</v>
      </c>
      <c r="S44" s="69"/>
      <c r="T44" s="57" t="s">
        <v>257</v>
      </c>
      <c r="U44" s="62"/>
      <c r="V44" s="58"/>
      <c r="W44" s="62" t="s">
        <v>260</v>
      </c>
      <c r="X44" s="67">
        <v>56</v>
      </c>
      <c r="Y44" s="60">
        <v>45.57</v>
      </c>
      <c r="Z44" s="60">
        <v>44.35</v>
      </c>
      <c r="AA44" s="61" t="s">
        <v>1420</v>
      </c>
      <c r="AB44" s="18"/>
      <c r="AC44" s="19"/>
      <c r="AD44" s="19"/>
      <c r="AE44" s="19"/>
    </row>
    <row r="45" spans="1:34">
      <c r="A45" s="13" t="s">
        <v>39</v>
      </c>
      <c r="B45" s="13" t="s">
        <v>40</v>
      </c>
      <c r="C45" s="13" t="s">
        <v>41</v>
      </c>
      <c r="D45" s="54" t="s">
        <v>219</v>
      </c>
      <c r="E45" s="55"/>
      <c r="F45" s="13" t="s">
        <v>43</v>
      </c>
      <c r="G45" s="13" t="s">
        <v>44</v>
      </c>
      <c r="H45" s="13" t="s">
        <v>45</v>
      </c>
      <c r="I45" s="11" t="s">
        <v>47</v>
      </c>
      <c r="J45" s="54" t="s">
        <v>48</v>
      </c>
      <c r="K45" s="13" t="s">
        <v>49</v>
      </c>
      <c r="L45" s="13">
        <v>18357088762</v>
      </c>
      <c r="M45" s="11" t="s">
        <v>220</v>
      </c>
      <c r="N45" s="54" t="s">
        <v>221</v>
      </c>
      <c r="O45" s="13" t="s">
        <v>222</v>
      </c>
      <c r="P45" s="13">
        <v>15857026038</v>
      </c>
      <c r="Q45" s="54"/>
      <c r="R45" s="54" t="s">
        <v>229</v>
      </c>
      <c r="S45" s="57"/>
      <c r="T45" s="57" t="s">
        <v>229</v>
      </c>
      <c r="U45" s="62"/>
      <c r="V45" s="58"/>
      <c r="W45" s="62" t="s">
        <v>235</v>
      </c>
      <c r="X45" s="67">
        <v>1.28</v>
      </c>
      <c r="Y45" s="60">
        <v>0.55</v>
      </c>
      <c r="Z45" s="60">
        <v>0.55</v>
      </c>
      <c r="AA45" s="61" t="s">
        <v>1420</v>
      </c>
      <c r="AB45" s="18"/>
      <c r="AC45" s="19"/>
      <c r="AD45" s="19"/>
      <c r="AE45" s="19"/>
    </row>
    <row r="46" spans="1:34">
      <c r="A46" s="13" t="s">
        <v>39</v>
      </c>
      <c r="B46" s="13" t="s">
        <v>40</v>
      </c>
      <c r="C46" s="13" t="s">
        <v>41</v>
      </c>
      <c r="D46" s="54" t="s">
        <v>219</v>
      </c>
      <c r="E46" s="55"/>
      <c r="F46" s="13" t="s">
        <v>43</v>
      </c>
      <c r="G46" s="13" t="s">
        <v>44</v>
      </c>
      <c r="H46" s="13" t="s">
        <v>45</v>
      </c>
      <c r="I46" s="11" t="s">
        <v>47</v>
      </c>
      <c r="J46" s="54" t="s">
        <v>48</v>
      </c>
      <c r="K46" s="13" t="s">
        <v>49</v>
      </c>
      <c r="L46" s="13">
        <v>18357088762</v>
      </c>
      <c r="M46" s="11" t="s">
        <v>220</v>
      </c>
      <c r="N46" s="54" t="s">
        <v>221</v>
      </c>
      <c r="O46" s="13" t="s">
        <v>222</v>
      </c>
      <c r="P46" s="13">
        <v>15857026038</v>
      </c>
      <c r="Q46" s="54"/>
      <c r="R46" s="54" t="s">
        <v>244</v>
      </c>
      <c r="S46" s="57"/>
      <c r="T46" s="57" t="s">
        <v>244</v>
      </c>
      <c r="U46" s="62"/>
      <c r="V46" s="58"/>
      <c r="W46" s="62" t="s">
        <v>251</v>
      </c>
      <c r="X46" s="67">
        <v>14.1707</v>
      </c>
      <c r="Y46" s="60">
        <v>8.2</v>
      </c>
      <c r="Z46" s="60">
        <v>8.2</v>
      </c>
      <c r="AA46" s="61" t="s">
        <v>1420</v>
      </c>
      <c r="AB46" s="18"/>
      <c r="AC46" s="19"/>
      <c r="AD46" s="19"/>
      <c r="AE46" s="19"/>
    </row>
    <row r="47" spans="1:34">
      <c r="A47" s="13" t="s">
        <v>39</v>
      </c>
      <c r="B47" s="13" t="s">
        <v>40</v>
      </c>
      <c r="C47" s="13" t="s">
        <v>41</v>
      </c>
      <c r="D47" s="54" t="s">
        <v>172</v>
      </c>
      <c r="E47" s="55"/>
      <c r="F47" s="13" t="s">
        <v>43</v>
      </c>
      <c r="G47" s="13" t="s">
        <v>44</v>
      </c>
      <c r="H47" s="13" t="s">
        <v>45</v>
      </c>
      <c r="I47" s="11" t="s">
        <v>47</v>
      </c>
      <c r="J47" s="54" t="s">
        <v>48</v>
      </c>
      <c r="K47" s="13" t="s">
        <v>49</v>
      </c>
      <c r="L47" s="13">
        <v>18357088762</v>
      </c>
      <c r="M47" s="11" t="s">
        <v>271</v>
      </c>
      <c r="N47" s="54" t="s">
        <v>174</v>
      </c>
      <c r="O47" s="13" t="s">
        <v>175</v>
      </c>
      <c r="P47" s="13">
        <v>18805712503</v>
      </c>
      <c r="Q47" s="54" t="s">
        <v>274</v>
      </c>
      <c r="R47" s="54" t="s">
        <v>174</v>
      </c>
      <c r="S47" s="57" t="s">
        <v>276</v>
      </c>
      <c r="T47" s="57" t="s">
        <v>1460</v>
      </c>
      <c r="U47" s="62" t="s">
        <v>1461</v>
      </c>
      <c r="V47" s="58" t="s">
        <v>1462</v>
      </c>
      <c r="W47" s="62" t="s">
        <v>185</v>
      </c>
      <c r="X47" s="59">
        <v>230</v>
      </c>
      <c r="Y47" s="60">
        <v>236.78</v>
      </c>
      <c r="Z47" s="60">
        <v>208.12</v>
      </c>
      <c r="AA47" s="61" t="s">
        <v>1420</v>
      </c>
      <c r="AB47" s="18"/>
      <c r="AC47" s="19"/>
      <c r="AD47" s="19"/>
      <c r="AE47" s="19"/>
    </row>
    <row r="48" spans="1:34">
      <c r="A48" s="13" t="s">
        <v>39</v>
      </c>
      <c r="B48" s="13" t="s">
        <v>40</v>
      </c>
      <c r="C48" s="13" t="s">
        <v>41</v>
      </c>
      <c r="D48" s="54" t="s">
        <v>172</v>
      </c>
      <c r="E48" s="55"/>
      <c r="F48" s="13" t="s">
        <v>43</v>
      </c>
      <c r="G48" s="13" t="s">
        <v>44</v>
      </c>
      <c r="H48" s="13" t="s">
        <v>45</v>
      </c>
      <c r="I48" s="11" t="s">
        <v>47</v>
      </c>
      <c r="J48" s="54" t="s">
        <v>48</v>
      </c>
      <c r="K48" s="13" t="s">
        <v>49</v>
      </c>
      <c r="L48" s="13">
        <v>18357088762</v>
      </c>
      <c r="M48" s="11" t="s">
        <v>271</v>
      </c>
      <c r="N48" s="54" t="s">
        <v>174</v>
      </c>
      <c r="O48" s="13" t="s">
        <v>175</v>
      </c>
      <c r="P48" s="13">
        <v>18805712503</v>
      </c>
      <c r="Q48" s="54" t="s">
        <v>274</v>
      </c>
      <c r="R48" s="54" t="s">
        <v>174</v>
      </c>
      <c r="S48" s="57" t="s">
        <v>1463</v>
      </c>
      <c r="T48" s="57" t="s">
        <v>1464</v>
      </c>
      <c r="U48" s="62" t="s">
        <v>1461</v>
      </c>
      <c r="V48" s="58" t="s">
        <v>1462</v>
      </c>
      <c r="W48" s="62" t="s">
        <v>180</v>
      </c>
      <c r="X48" s="67">
        <v>1543.1928</v>
      </c>
      <c r="Y48" s="60">
        <v>1628.44</v>
      </c>
      <c r="Z48" s="60">
        <v>1540.09</v>
      </c>
      <c r="AA48" s="61" t="s">
        <v>1420</v>
      </c>
      <c r="AB48" s="18"/>
      <c r="AC48" s="19"/>
      <c r="AD48" s="19"/>
      <c r="AE48" s="19"/>
    </row>
    <row r="49" spans="1:32">
      <c r="A49" s="13" t="s">
        <v>39</v>
      </c>
      <c r="B49" s="13" t="s">
        <v>40</v>
      </c>
      <c r="C49" s="13" t="s">
        <v>41</v>
      </c>
      <c r="D49" s="54" t="s">
        <v>172</v>
      </c>
      <c r="E49" s="55"/>
      <c r="F49" s="13" t="s">
        <v>43</v>
      </c>
      <c r="G49" s="13" t="s">
        <v>44</v>
      </c>
      <c r="H49" s="13" t="s">
        <v>45</v>
      </c>
      <c r="I49" s="11" t="s">
        <v>47</v>
      </c>
      <c r="J49" s="54" t="s">
        <v>48</v>
      </c>
      <c r="K49" s="13" t="s">
        <v>49</v>
      </c>
      <c r="L49" s="13">
        <v>18357088762</v>
      </c>
      <c r="M49" s="11" t="s">
        <v>289</v>
      </c>
      <c r="N49" s="54" t="s">
        <v>272</v>
      </c>
      <c r="O49" s="13" t="s">
        <v>175</v>
      </c>
      <c r="P49" s="13">
        <v>18805712503</v>
      </c>
      <c r="Q49" s="54" t="s">
        <v>292</v>
      </c>
      <c r="R49" s="54" t="s">
        <v>272</v>
      </c>
      <c r="S49" s="57" t="s">
        <v>294</v>
      </c>
      <c r="T49" s="57" t="s">
        <v>275</v>
      </c>
      <c r="U49" s="62" t="s">
        <v>1465</v>
      </c>
      <c r="V49" s="58" t="s">
        <v>1462</v>
      </c>
      <c r="W49" s="62" t="s">
        <v>278</v>
      </c>
      <c r="X49" s="67">
        <v>173.745</v>
      </c>
      <c r="Y49" s="60">
        <v>168.95</v>
      </c>
      <c r="Z49" s="60">
        <v>168.03</v>
      </c>
      <c r="AA49" s="61" t="s">
        <v>1420</v>
      </c>
      <c r="AB49" s="18"/>
      <c r="AC49" s="19"/>
      <c r="AD49" s="19"/>
      <c r="AE49" s="19"/>
    </row>
    <row r="50" spans="1:32">
      <c r="A50" s="13" t="s">
        <v>39</v>
      </c>
      <c r="B50" s="13" t="s">
        <v>40</v>
      </c>
      <c r="C50" s="13" t="s">
        <v>41</v>
      </c>
      <c r="D50" s="54" t="s">
        <v>172</v>
      </c>
      <c r="E50" s="55"/>
      <c r="F50" s="13" t="s">
        <v>43</v>
      </c>
      <c r="G50" s="13" t="s">
        <v>44</v>
      </c>
      <c r="H50" s="13" t="s">
        <v>45</v>
      </c>
      <c r="I50" s="11" t="s">
        <v>47</v>
      </c>
      <c r="J50" s="54" t="s">
        <v>48</v>
      </c>
      <c r="K50" s="13" t="s">
        <v>49</v>
      </c>
      <c r="L50" s="13">
        <v>18357088762</v>
      </c>
      <c r="M50" s="11" t="s">
        <v>289</v>
      </c>
      <c r="N50" s="54" t="s">
        <v>272</v>
      </c>
      <c r="O50" s="13" t="s">
        <v>273</v>
      </c>
      <c r="P50" s="13">
        <v>13567079078</v>
      </c>
      <c r="Q50" s="54" t="s">
        <v>292</v>
      </c>
      <c r="R50" s="54" t="s">
        <v>272</v>
      </c>
      <c r="S50" s="57" t="s">
        <v>1466</v>
      </c>
      <c r="T50" s="57" t="s">
        <v>280</v>
      </c>
      <c r="U50" s="62" t="s">
        <v>1467</v>
      </c>
      <c r="V50" s="58" t="s">
        <v>1468</v>
      </c>
      <c r="W50" s="62" t="s">
        <v>283</v>
      </c>
      <c r="X50" s="67">
        <v>90.16</v>
      </c>
      <c r="Y50" s="60">
        <v>90.71</v>
      </c>
      <c r="Z50" s="60">
        <v>90.71</v>
      </c>
      <c r="AA50" s="61" t="s">
        <v>1420</v>
      </c>
      <c r="AB50" s="18"/>
      <c r="AC50" s="19"/>
      <c r="AD50" s="19"/>
      <c r="AE50" s="19"/>
    </row>
    <row r="51" spans="1:32">
      <c r="A51" s="13" t="s">
        <v>39</v>
      </c>
      <c r="B51" s="13" t="s">
        <v>40</v>
      </c>
      <c r="C51" s="13" t="s">
        <v>41</v>
      </c>
      <c r="D51" s="54" t="s">
        <v>172</v>
      </c>
      <c r="E51" s="55"/>
      <c r="F51" s="13" t="s">
        <v>43</v>
      </c>
      <c r="G51" s="13" t="s">
        <v>44</v>
      </c>
      <c r="H51" s="13" t="s">
        <v>45</v>
      </c>
      <c r="I51" s="11" t="s">
        <v>47</v>
      </c>
      <c r="J51" s="54" t="s">
        <v>48</v>
      </c>
      <c r="K51" s="13" t="s">
        <v>49</v>
      </c>
      <c r="L51" s="13">
        <v>18357088762</v>
      </c>
      <c r="M51" s="11" t="s">
        <v>289</v>
      </c>
      <c r="N51" s="54" t="s">
        <v>272</v>
      </c>
      <c r="O51" s="13" t="s">
        <v>273</v>
      </c>
      <c r="P51" s="13">
        <v>13567079078</v>
      </c>
      <c r="Q51" s="54" t="s">
        <v>292</v>
      </c>
      <c r="R51" s="54" t="s">
        <v>272</v>
      </c>
      <c r="S51" s="57" t="s">
        <v>1469</v>
      </c>
      <c r="T51" s="57" t="s">
        <v>285</v>
      </c>
      <c r="U51" s="62" t="s">
        <v>1470</v>
      </c>
      <c r="V51" s="58" t="s">
        <v>1468</v>
      </c>
      <c r="W51" s="62" t="s">
        <v>288</v>
      </c>
      <c r="X51" s="67">
        <v>221.3</v>
      </c>
      <c r="Y51" s="60">
        <v>214.48</v>
      </c>
      <c r="Z51" s="60">
        <v>211.94</v>
      </c>
      <c r="AA51" s="61" t="s">
        <v>1420</v>
      </c>
      <c r="AB51" s="18"/>
      <c r="AC51" s="19"/>
      <c r="AD51" s="19"/>
      <c r="AE51" s="19"/>
    </row>
    <row r="52" ht="18" customHeight="1" spans="1:32">
      <c r="A52" s="13" t="s">
        <v>39</v>
      </c>
      <c r="B52" s="13" t="s">
        <v>40</v>
      </c>
      <c r="C52" s="13" t="s">
        <v>41</v>
      </c>
      <c r="D52" s="54" t="s">
        <v>368</v>
      </c>
      <c r="E52" s="55"/>
      <c r="F52" s="13" t="s">
        <v>43</v>
      </c>
      <c r="G52" s="13" t="s">
        <v>44</v>
      </c>
      <c r="H52" s="13" t="s">
        <v>45</v>
      </c>
      <c r="I52" s="11" t="s">
        <v>313</v>
      </c>
      <c r="J52" s="54" t="s">
        <v>314</v>
      </c>
      <c r="K52" s="13" t="s">
        <v>315</v>
      </c>
      <c r="L52" s="13"/>
      <c r="M52" s="11" t="s">
        <v>316</v>
      </c>
      <c r="N52" s="54" t="s">
        <v>469</v>
      </c>
      <c r="O52" s="13" t="s">
        <v>470</v>
      </c>
      <c r="P52" s="13">
        <v>13587022708</v>
      </c>
      <c r="Q52" s="54" t="s">
        <v>319</v>
      </c>
      <c r="R52" s="54" t="s">
        <v>558</v>
      </c>
      <c r="S52" s="57" t="s">
        <v>321</v>
      </c>
      <c r="T52" s="57" t="s">
        <v>558</v>
      </c>
      <c r="U52" s="62" t="s">
        <v>1471</v>
      </c>
      <c r="V52" s="58" t="s">
        <v>1472</v>
      </c>
      <c r="W52" s="70" t="s">
        <v>1473</v>
      </c>
      <c r="X52" s="71">
        <v>1023.598</v>
      </c>
      <c r="Y52" s="60">
        <v>1015.31</v>
      </c>
      <c r="Z52" s="60">
        <v>1013.42</v>
      </c>
      <c r="AA52" s="61" t="s">
        <v>1474</v>
      </c>
      <c r="AB52" s="18"/>
      <c r="AC52" s="19"/>
      <c r="AD52" s="19"/>
      <c r="AE52" s="19"/>
      <c r="AF52" s="72" t="s">
        <v>1475</v>
      </c>
    </row>
    <row r="53" ht="31" spans="1:32">
      <c r="A53" s="13" t="s">
        <v>39</v>
      </c>
      <c r="B53" s="13" t="s">
        <v>40</v>
      </c>
      <c r="C53" s="13" t="s">
        <v>41</v>
      </c>
      <c r="D53" s="54" t="s">
        <v>368</v>
      </c>
      <c r="E53" s="55"/>
      <c r="F53" s="13" t="s">
        <v>43</v>
      </c>
      <c r="G53" s="13" t="s">
        <v>44</v>
      </c>
      <c r="H53" s="13" t="s">
        <v>45</v>
      </c>
      <c r="I53" s="11" t="s">
        <v>313</v>
      </c>
      <c r="J53" s="54" t="s">
        <v>314</v>
      </c>
      <c r="K53" s="13" t="s">
        <v>315</v>
      </c>
      <c r="L53" s="13"/>
      <c r="M53" s="11" t="s">
        <v>316</v>
      </c>
      <c r="N53" s="54" t="s">
        <v>469</v>
      </c>
      <c r="O53" s="13" t="s">
        <v>470</v>
      </c>
      <c r="P53" s="13">
        <v>13587022708</v>
      </c>
      <c r="Q53" s="54" t="s">
        <v>336</v>
      </c>
      <c r="R53" s="54" t="s">
        <v>613</v>
      </c>
      <c r="S53" s="57" t="s">
        <v>338</v>
      </c>
      <c r="T53" s="57" t="s">
        <v>613</v>
      </c>
      <c r="U53" s="62" t="s">
        <v>1471</v>
      </c>
      <c r="V53" s="58" t="s">
        <v>1472</v>
      </c>
      <c r="W53" s="70" t="s">
        <v>1473</v>
      </c>
      <c r="X53" s="71">
        <v>1023.598</v>
      </c>
      <c r="Y53" s="73"/>
      <c r="Z53" s="73"/>
      <c r="AA53" s="61" t="s">
        <v>1474</v>
      </c>
      <c r="AB53" s="18"/>
      <c r="AC53" s="19"/>
      <c r="AD53" s="19"/>
      <c r="AE53" s="19"/>
    </row>
    <row r="54" ht="31" spans="1:32">
      <c r="A54" s="13" t="s">
        <v>39</v>
      </c>
      <c r="B54" s="13" t="s">
        <v>40</v>
      </c>
      <c r="C54" s="13" t="s">
        <v>41</v>
      </c>
      <c r="D54" s="54" t="s">
        <v>368</v>
      </c>
      <c r="E54" s="55"/>
      <c r="F54" s="13" t="s">
        <v>43</v>
      </c>
      <c r="G54" s="13" t="s">
        <v>44</v>
      </c>
      <c r="H54" s="13" t="s">
        <v>45</v>
      </c>
      <c r="I54" s="11" t="s">
        <v>313</v>
      </c>
      <c r="J54" s="54" t="s">
        <v>314</v>
      </c>
      <c r="K54" s="13" t="s">
        <v>315</v>
      </c>
      <c r="L54" s="13"/>
      <c r="M54" s="11" t="s">
        <v>316</v>
      </c>
      <c r="N54" s="54" t="s">
        <v>469</v>
      </c>
      <c r="O54" s="13" t="s">
        <v>470</v>
      </c>
      <c r="P54" s="13">
        <v>13587022708</v>
      </c>
      <c r="Q54" s="54" t="s">
        <v>356</v>
      </c>
      <c r="R54" s="54" t="s">
        <v>1476</v>
      </c>
      <c r="S54" s="57" t="s">
        <v>358</v>
      </c>
      <c r="T54" s="57" t="s">
        <v>1476</v>
      </c>
      <c r="U54" s="62" t="s">
        <v>1471</v>
      </c>
      <c r="V54" s="58" t="s">
        <v>1472</v>
      </c>
      <c r="W54" s="70" t="s">
        <v>1473</v>
      </c>
      <c r="X54" s="71">
        <v>1023.598</v>
      </c>
      <c r="Y54" s="73"/>
      <c r="Z54" s="73"/>
      <c r="AA54" s="61" t="s">
        <v>1474</v>
      </c>
      <c r="AB54" s="18"/>
      <c r="AC54" s="19"/>
      <c r="AD54" s="19"/>
      <c r="AE54" s="19"/>
    </row>
    <row r="55" ht="31" spans="1:32">
      <c r="A55" s="13" t="s">
        <v>39</v>
      </c>
      <c r="B55" s="13" t="s">
        <v>40</v>
      </c>
      <c r="C55" s="13" t="s">
        <v>41</v>
      </c>
      <c r="D55" s="54" t="s">
        <v>368</v>
      </c>
      <c r="E55" s="55"/>
      <c r="F55" s="13" t="s">
        <v>43</v>
      </c>
      <c r="G55" s="13" t="s">
        <v>44</v>
      </c>
      <c r="H55" s="13" t="s">
        <v>45</v>
      </c>
      <c r="I55" s="11" t="s">
        <v>313</v>
      </c>
      <c r="J55" s="54" t="s">
        <v>314</v>
      </c>
      <c r="K55" s="13" t="s">
        <v>315</v>
      </c>
      <c r="L55" s="13"/>
      <c r="M55" s="11" t="s">
        <v>316</v>
      </c>
      <c r="N55" s="54" t="s">
        <v>469</v>
      </c>
      <c r="O55" s="13" t="s">
        <v>470</v>
      </c>
      <c r="P55" s="13">
        <v>13587022708</v>
      </c>
      <c r="Q55" s="54" t="s">
        <v>360</v>
      </c>
      <c r="R55" s="54" t="s">
        <v>522</v>
      </c>
      <c r="S55" s="57" t="s">
        <v>362</v>
      </c>
      <c r="T55" s="57" t="s">
        <v>1477</v>
      </c>
      <c r="U55" s="62" t="s">
        <v>1471</v>
      </c>
      <c r="V55" s="58" t="s">
        <v>1472</v>
      </c>
      <c r="W55" s="70" t="s">
        <v>1473</v>
      </c>
      <c r="X55" s="71">
        <v>1023.598</v>
      </c>
      <c r="Y55" s="73"/>
      <c r="Z55" s="73"/>
      <c r="AA55" s="61" t="s">
        <v>1474</v>
      </c>
      <c r="AB55" s="18"/>
      <c r="AC55" s="19"/>
      <c r="AD55" s="19"/>
      <c r="AE55" s="19"/>
    </row>
    <row r="56" ht="31" spans="1:32">
      <c r="A56" s="13" t="s">
        <v>39</v>
      </c>
      <c r="B56" s="13" t="s">
        <v>40</v>
      </c>
      <c r="C56" s="13" t="s">
        <v>41</v>
      </c>
      <c r="D56" s="54" t="s">
        <v>368</v>
      </c>
      <c r="E56" s="55"/>
      <c r="F56" s="13" t="s">
        <v>43</v>
      </c>
      <c r="G56" s="13" t="s">
        <v>44</v>
      </c>
      <c r="H56" s="13" t="s">
        <v>45</v>
      </c>
      <c r="I56" s="11" t="s">
        <v>313</v>
      </c>
      <c r="J56" s="54" t="s">
        <v>314</v>
      </c>
      <c r="K56" s="13" t="s">
        <v>315</v>
      </c>
      <c r="L56" s="13"/>
      <c r="M56" s="11" t="s">
        <v>316</v>
      </c>
      <c r="N56" s="54" t="s">
        <v>469</v>
      </c>
      <c r="O56" s="13" t="s">
        <v>470</v>
      </c>
      <c r="P56" s="13">
        <v>13587022708</v>
      </c>
      <c r="Q56" s="54" t="s">
        <v>364</v>
      </c>
      <c r="R56" s="54" t="s">
        <v>1478</v>
      </c>
      <c r="S56" s="57" t="s">
        <v>366</v>
      </c>
      <c r="T56" s="57" t="s">
        <v>1478</v>
      </c>
      <c r="U56" s="62" t="s">
        <v>1471</v>
      </c>
      <c r="V56" s="58" t="s">
        <v>1472</v>
      </c>
      <c r="W56" s="70" t="s">
        <v>1473</v>
      </c>
      <c r="X56" s="71">
        <v>1023.598</v>
      </c>
      <c r="Y56" s="73"/>
      <c r="Z56" s="73"/>
      <c r="AA56" s="61" t="s">
        <v>1474</v>
      </c>
      <c r="AB56" s="18"/>
      <c r="AC56" s="19"/>
      <c r="AD56" s="19"/>
      <c r="AE56" s="19"/>
    </row>
    <row r="57" ht="31" spans="1:32">
      <c r="A57" s="13" t="s">
        <v>39</v>
      </c>
      <c r="B57" s="13" t="s">
        <v>40</v>
      </c>
      <c r="C57" s="13" t="s">
        <v>41</v>
      </c>
      <c r="D57" s="54" t="s">
        <v>368</v>
      </c>
      <c r="E57" s="55"/>
      <c r="F57" s="13" t="s">
        <v>43</v>
      </c>
      <c r="G57" s="13" t="s">
        <v>44</v>
      </c>
      <c r="H57" s="13" t="s">
        <v>45</v>
      </c>
      <c r="I57" s="11" t="s">
        <v>313</v>
      </c>
      <c r="J57" s="54" t="s">
        <v>314</v>
      </c>
      <c r="K57" s="13" t="s">
        <v>315</v>
      </c>
      <c r="L57" s="13"/>
      <c r="M57" s="11" t="s">
        <v>316</v>
      </c>
      <c r="N57" s="54" t="s">
        <v>469</v>
      </c>
      <c r="O57" s="13" t="s">
        <v>470</v>
      </c>
      <c r="P57" s="13">
        <v>13587022708</v>
      </c>
      <c r="Q57" s="54" t="s">
        <v>1479</v>
      </c>
      <c r="R57" s="54" t="s">
        <v>1480</v>
      </c>
      <c r="S57" s="57" t="s">
        <v>1481</v>
      </c>
      <c r="T57" s="57" t="s">
        <v>1480</v>
      </c>
      <c r="U57" s="62" t="s">
        <v>1471</v>
      </c>
      <c r="V57" s="58" t="s">
        <v>1472</v>
      </c>
      <c r="W57" s="70" t="s">
        <v>1473</v>
      </c>
      <c r="X57" s="71">
        <v>1023.598</v>
      </c>
      <c r="Y57" s="73"/>
      <c r="Z57" s="73"/>
      <c r="AA57" s="61" t="s">
        <v>1474</v>
      </c>
      <c r="AB57" s="18"/>
      <c r="AC57" s="19"/>
      <c r="AD57" s="19"/>
      <c r="AE57" s="19"/>
    </row>
    <row r="58" ht="31" spans="1:32">
      <c r="A58" s="13" t="s">
        <v>39</v>
      </c>
      <c r="B58" s="13" t="s">
        <v>40</v>
      </c>
      <c r="C58" s="13" t="s">
        <v>41</v>
      </c>
      <c r="D58" s="54" t="s">
        <v>368</v>
      </c>
      <c r="E58" s="55"/>
      <c r="F58" s="13" t="s">
        <v>43</v>
      </c>
      <c r="G58" s="13" t="s">
        <v>44</v>
      </c>
      <c r="H58" s="13" t="s">
        <v>45</v>
      </c>
      <c r="I58" s="11" t="s">
        <v>313</v>
      </c>
      <c r="J58" s="54" t="s">
        <v>314</v>
      </c>
      <c r="K58" s="13" t="s">
        <v>315</v>
      </c>
      <c r="L58" s="13"/>
      <c r="M58" s="11" t="s">
        <v>316</v>
      </c>
      <c r="N58" s="54" t="s">
        <v>469</v>
      </c>
      <c r="O58" s="13" t="s">
        <v>470</v>
      </c>
      <c r="P58" s="13">
        <v>18685886809</v>
      </c>
      <c r="Q58" s="54" t="s">
        <v>1482</v>
      </c>
      <c r="R58" s="54" t="s">
        <v>1483</v>
      </c>
      <c r="S58" s="57" t="s">
        <v>1484</v>
      </c>
      <c r="T58" s="57" t="s">
        <v>1483</v>
      </c>
      <c r="U58" s="62" t="s">
        <v>1471</v>
      </c>
      <c r="V58" s="58" t="s">
        <v>1472</v>
      </c>
      <c r="W58" s="70" t="s">
        <v>1473</v>
      </c>
      <c r="X58" s="71">
        <v>1023.598</v>
      </c>
      <c r="Y58" s="73"/>
      <c r="Z58" s="73"/>
      <c r="AA58" s="61" t="s">
        <v>1474</v>
      </c>
      <c r="AB58" s="18"/>
      <c r="AC58" s="19"/>
      <c r="AD58" s="19"/>
      <c r="AE58" s="19"/>
    </row>
    <row r="59" ht="31" spans="1:32">
      <c r="A59" s="13" t="s">
        <v>39</v>
      </c>
      <c r="B59" s="13" t="s">
        <v>40</v>
      </c>
      <c r="C59" s="13" t="s">
        <v>41</v>
      </c>
      <c r="D59" s="54" t="s">
        <v>368</v>
      </c>
      <c r="E59" s="55"/>
      <c r="F59" s="13" t="s">
        <v>43</v>
      </c>
      <c r="G59" s="13" t="s">
        <v>44</v>
      </c>
      <c r="H59" s="13" t="s">
        <v>45</v>
      </c>
      <c r="I59" s="11" t="s">
        <v>313</v>
      </c>
      <c r="J59" s="54" t="s">
        <v>314</v>
      </c>
      <c r="K59" s="13" t="s">
        <v>315</v>
      </c>
      <c r="L59" s="13"/>
      <c r="M59" s="11" t="s">
        <v>316</v>
      </c>
      <c r="N59" s="54" t="s">
        <v>469</v>
      </c>
      <c r="O59" s="13" t="s">
        <v>470</v>
      </c>
      <c r="P59" s="13">
        <v>18685886809</v>
      </c>
      <c r="Q59" s="54" t="s">
        <v>1485</v>
      </c>
      <c r="R59" s="54" t="s">
        <v>1486</v>
      </c>
      <c r="S59" s="57" t="s">
        <v>1487</v>
      </c>
      <c r="T59" s="57" t="s">
        <v>1486</v>
      </c>
      <c r="U59" s="62" t="s">
        <v>1471</v>
      </c>
      <c r="V59" s="58" t="s">
        <v>1472</v>
      </c>
      <c r="W59" s="70" t="s">
        <v>1473</v>
      </c>
      <c r="X59" s="71">
        <v>1023.598</v>
      </c>
      <c r="Y59" s="73"/>
      <c r="Z59" s="73"/>
      <c r="AA59" s="61" t="s">
        <v>1474</v>
      </c>
      <c r="AB59" s="18"/>
      <c r="AC59" s="19"/>
      <c r="AD59" s="19"/>
      <c r="AE59" s="19"/>
    </row>
    <row r="60" ht="31" spans="1:32">
      <c r="A60" s="13" t="s">
        <v>39</v>
      </c>
      <c r="B60" s="13" t="s">
        <v>40</v>
      </c>
      <c r="C60" s="13" t="s">
        <v>41</v>
      </c>
      <c r="D60" s="54" t="s">
        <v>368</v>
      </c>
      <c r="E60" s="55"/>
      <c r="F60" s="13" t="s">
        <v>43</v>
      </c>
      <c r="G60" s="13" t="s">
        <v>44</v>
      </c>
      <c r="H60" s="13" t="s">
        <v>45</v>
      </c>
      <c r="I60" s="11" t="s">
        <v>313</v>
      </c>
      <c r="J60" s="54" t="s">
        <v>314</v>
      </c>
      <c r="K60" s="13" t="s">
        <v>315</v>
      </c>
      <c r="L60" s="13"/>
      <c r="M60" s="11" t="s">
        <v>316</v>
      </c>
      <c r="N60" s="54" t="s">
        <v>469</v>
      </c>
      <c r="O60" s="13" t="s">
        <v>470</v>
      </c>
      <c r="P60" s="13">
        <v>18685886809</v>
      </c>
      <c r="Q60" s="54" t="s">
        <v>1488</v>
      </c>
      <c r="R60" s="54" t="s">
        <v>1489</v>
      </c>
      <c r="S60" s="57" t="s">
        <v>1490</v>
      </c>
      <c r="T60" s="57" t="s">
        <v>1489</v>
      </c>
      <c r="U60" s="62" t="s">
        <v>1471</v>
      </c>
      <c r="V60" s="58" t="s">
        <v>1472</v>
      </c>
      <c r="W60" s="70" t="s">
        <v>1473</v>
      </c>
      <c r="X60" s="71">
        <v>1023.598</v>
      </c>
      <c r="Y60" s="73"/>
      <c r="Z60" s="73"/>
      <c r="AA60" s="61" t="s">
        <v>1474</v>
      </c>
      <c r="AB60" s="18"/>
      <c r="AC60" s="19"/>
      <c r="AD60" s="19"/>
      <c r="AE60" s="19"/>
    </row>
    <row r="61" ht="31" spans="1:32">
      <c r="A61" s="13" t="s">
        <v>39</v>
      </c>
      <c r="B61" s="13" t="s">
        <v>40</v>
      </c>
      <c r="C61" s="13" t="s">
        <v>41</v>
      </c>
      <c r="D61" s="54" t="s">
        <v>368</v>
      </c>
      <c r="E61" s="55"/>
      <c r="F61" s="13" t="s">
        <v>43</v>
      </c>
      <c r="G61" s="13" t="s">
        <v>44</v>
      </c>
      <c r="H61" s="13" t="s">
        <v>45</v>
      </c>
      <c r="I61" s="11" t="s">
        <v>313</v>
      </c>
      <c r="J61" s="54" t="s">
        <v>314</v>
      </c>
      <c r="K61" s="13" t="s">
        <v>315</v>
      </c>
      <c r="L61" s="13"/>
      <c r="M61" s="11" t="s">
        <v>316</v>
      </c>
      <c r="N61" s="54" t="s">
        <v>469</v>
      </c>
      <c r="O61" s="13" t="s">
        <v>470</v>
      </c>
      <c r="P61" s="13">
        <v>18685886809</v>
      </c>
      <c r="Q61" s="54" t="s">
        <v>1491</v>
      </c>
      <c r="R61" s="54" t="s">
        <v>1492</v>
      </c>
      <c r="S61" s="57" t="s">
        <v>1493</v>
      </c>
      <c r="T61" s="57" t="s">
        <v>1492</v>
      </c>
      <c r="U61" s="62" t="s">
        <v>1471</v>
      </c>
      <c r="V61" s="58" t="s">
        <v>1472</v>
      </c>
      <c r="W61" s="70" t="s">
        <v>1473</v>
      </c>
      <c r="X61" s="71">
        <v>1023.598</v>
      </c>
      <c r="Y61" s="73"/>
      <c r="Z61" s="73"/>
      <c r="AA61" s="61" t="s">
        <v>1474</v>
      </c>
      <c r="AB61" s="18"/>
      <c r="AC61" s="19"/>
      <c r="AD61" s="19"/>
      <c r="AE61" s="19"/>
    </row>
    <row r="62" ht="31" spans="1:32">
      <c r="A62" s="13" t="s">
        <v>39</v>
      </c>
      <c r="B62" s="13" t="s">
        <v>40</v>
      </c>
      <c r="C62" s="13" t="s">
        <v>41</v>
      </c>
      <c r="D62" s="54" t="s">
        <v>368</v>
      </c>
      <c r="E62" s="55"/>
      <c r="F62" s="13" t="s">
        <v>43</v>
      </c>
      <c r="G62" s="13" t="s">
        <v>44</v>
      </c>
      <c r="H62" s="13" t="s">
        <v>45</v>
      </c>
      <c r="I62" s="11" t="s">
        <v>313</v>
      </c>
      <c r="J62" s="54" t="s">
        <v>314</v>
      </c>
      <c r="K62" s="13" t="s">
        <v>315</v>
      </c>
      <c r="L62" s="13"/>
      <c r="M62" s="11" t="s">
        <v>316</v>
      </c>
      <c r="N62" s="54" t="s">
        <v>469</v>
      </c>
      <c r="O62" s="13" t="s">
        <v>470</v>
      </c>
      <c r="P62" s="13">
        <v>18685886809</v>
      </c>
      <c r="Q62" s="54" t="s">
        <v>1494</v>
      </c>
      <c r="R62" s="54" t="s">
        <v>1495</v>
      </c>
      <c r="S62" s="57" t="s">
        <v>1496</v>
      </c>
      <c r="T62" s="57" t="s">
        <v>1495</v>
      </c>
      <c r="U62" s="62" t="s">
        <v>1471</v>
      </c>
      <c r="V62" s="58" t="s">
        <v>1472</v>
      </c>
      <c r="W62" s="70" t="s">
        <v>1473</v>
      </c>
      <c r="X62" s="71">
        <v>1023.598</v>
      </c>
      <c r="Y62" s="73"/>
      <c r="Z62" s="73"/>
      <c r="AA62" s="61" t="s">
        <v>1474</v>
      </c>
      <c r="AB62" s="18"/>
      <c r="AC62" s="19"/>
      <c r="AD62" s="19"/>
      <c r="AE62" s="19"/>
    </row>
    <row r="63" ht="31" spans="1:32">
      <c r="A63" s="13" t="s">
        <v>39</v>
      </c>
      <c r="B63" s="13" t="s">
        <v>40</v>
      </c>
      <c r="C63" s="13" t="s">
        <v>41</v>
      </c>
      <c r="D63" s="54" t="s">
        <v>368</v>
      </c>
      <c r="E63" s="55"/>
      <c r="F63" s="13" t="s">
        <v>43</v>
      </c>
      <c r="G63" s="13" t="s">
        <v>44</v>
      </c>
      <c r="H63" s="13" t="s">
        <v>45</v>
      </c>
      <c r="I63" s="11" t="s">
        <v>313</v>
      </c>
      <c r="J63" s="54" t="s">
        <v>314</v>
      </c>
      <c r="K63" s="13" t="s">
        <v>315</v>
      </c>
      <c r="L63" s="13"/>
      <c r="M63" s="11" t="s">
        <v>316</v>
      </c>
      <c r="N63" s="54" t="s">
        <v>469</v>
      </c>
      <c r="O63" s="13" t="s">
        <v>470</v>
      </c>
      <c r="P63" s="13">
        <v>18685886809</v>
      </c>
      <c r="Q63" s="54" t="s">
        <v>1497</v>
      </c>
      <c r="R63" s="54" t="s">
        <v>1498</v>
      </c>
      <c r="S63" s="57" t="s">
        <v>1499</v>
      </c>
      <c r="T63" s="57" t="s">
        <v>1498</v>
      </c>
      <c r="U63" s="62" t="s">
        <v>1471</v>
      </c>
      <c r="V63" s="58" t="s">
        <v>1472</v>
      </c>
      <c r="W63" s="70" t="s">
        <v>1473</v>
      </c>
      <c r="X63" s="71">
        <v>1023.598</v>
      </c>
      <c r="Y63" s="73"/>
      <c r="Z63" s="73"/>
      <c r="AA63" s="61" t="s">
        <v>1474</v>
      </c>
      <c r="AB63" s="18"/>
      <c r="AC63" s="19"/>
      <c r="AD63" s="19"/>
      <c r="AE63" s="19"/>
    </row>
    <row r="64" ht="31" spans="1:32">
      <c r="A64" s="13" t="s">
        <v>39</v>
      </c>
      <c r="B64" s="13" t="s">
        <v>40</v>
      </c>
      <c r="C64" s="13" t="s">
        <v>41</v>
      </c>
      <c r="D64" s="54" t="s">
        <v>368</v>
      </c>
      <c r="E64" s="55"/>
      <c r="F64" s="13" t="s">
        <v>43</v>
      </c>
      <c r="G64" s="13" t="s">
        <v>44</v>
      </c>
      <c r="H64" s="13" t="s">
        <v>45</v>
      </c>
      <c r="I64" s="11" t="s">
        <v>313</v>
      </c>
      <c r="J64" s="54" t="s">
        <v>314</v>
      </c>
      <c r="K64" s="13" t="s">
        <v>315</v>
      </c>
      <c r="L64" s="13"/>
      <c r="M64" s="11" t="s">
        <v>316</v>
      </c>
      <c r="N64" s="54" t="s">
        <v>469</v>
      </c>
      <c r="O64" s="13" t="s">
        <v>470</v>
      </c>
      <c r="P64" s="13">
        <v>18685886809</v>
      </c>
      <c r="Q64" s="54" t="s">
        <v>1500</v>
      </c>
      <c r="R64" s="54" t="s">
        <v>1501</v>
      </c>
      <c r="S64" s="57" t="s">
        <v>1502</v>
      </c>
      <c r="T64" s="57" t="s">
        <v>1501</v>
      </c>
      <c r="U64" s="62" t="s">
        <v>1471</v>
      </c>
      <c r="V64" s="58" t="s">
        <v>1472</v>
      </c>
      <c r="W64" s="70" t="s">
        <v>1473</v>
      </c>
      <c r="X64" s="71">
        <v>1023.598</v>
      </c>
      <c r="Y64" s="73"/>
      <c r="Z64" s="73"/>
      <c r="AA64" s="61" t="s">
        <v>1474</v>
      </c>
      <c r="AB64" s="18"/>
      <c r="AC64" s="19"/>
      <c r="AD64" s="19"/>
      <c r="AE64" s="19"/>
    </row>
    <row r="65" ht="31" spans="1:31">
      <c r="A65" s="13" t="s">
        <v>39</v>
      </c>
      <c r="B65" s="13" t="s">
        <v>40</v>
      </c>
      <c r="C65" s="13" t="s">
        <v>41</v>
      </c>
      <c r="D65" s="54" t="s">
        <v>368</v>
      </c>
      <c r="E65" s="55"/>
      <c r="F65" s="13" t="s">
        <v>43</v>
      </c>
      <c r="G65" s="13" t="s">
        <v>44</v>
      </c>
      <c r="H65" s="13" t="s">
        <v>45</v>
      </c>
      <c r="I65" s="11" t="s">
        <v>313</v>
      </c>
      <c r="J65" s="54" t="s">
        <v>314</v>
      </c>
      <c r="K65" s="13" t="s">
        <v>315</v>
      </c>
      <c r="L65" s="13"/>
      <c r="M65" s="11" t="s">
        <v>316</v>
      </c>
      <c r="N65" s="54" t="s">
        <v>469</v>
      </c>
      <c r="O65" s="13" t="s">
        <v>470</v>
      </c>
      <c r="P65" s="13">
        <v>18685886809</v>
      </c>
      <c r="Q65" s="54" t="s">
        <v>1503</v>
      </c>
      <c r="R65" s="54" t="s">
        <v>554</v>
      </c>
      <c r="S65" s="57" t="s">
        <v>1504</v>
      </c>
      <c r="T65" s="57" t="s">
        <v>554</v>
      </c>
      <c r="U65" s="62" t="s">
        <v>1471</v>
      </c>
      <c r="V65" s="58" t="s">
        <v>1472</v>
      </c>
      <c r="W65" s="70" t="s">
        <v>1473</v>
      </c>
      <c r="X65" s="71">
        <v>1023.598</v>
      </c>
      <c r="Y65" s="73"/>
      <c r="Z65" s="73"/>
      <c r="AA65" s="61" t="s">
        <v>1474</v>
      </c>
      <c r="AB65" s="18"/>
      <c r="AC65" s="19"/>
      <c r="AD65" s="19"/>
      <c r="AE65" s="19"/>
    </row>
    <row r="66" ht="31" spans="1:31">
      <c r="A66" s="13" t="s">
        <v>39</v>
      </c>
      <c r="B66" s="13" t="s">
        <v>40</v>
      </c>
      <c r="C66" s="13" t="s">
        <v>41</v>
      </c>
      <c r="D66" s="54" t="s">
        <v>368</v>
      </c>
      <c r="E66" s="55"/>
      <c r="F66" s="13" t="s">
        <v>43</v>
      </c>
      <c r="G66" s="13" t="s">
        <v>44</v>
      </c>
      <c r="H66" s="13" t="s">
        <v>45</v>
      </c>
      <c r="I66" s="11" t="s">
        <v>313</v>
      </c>
      <c r="J66" s="54" t="s">
        <v>314</v>
      </c>
      <c r="K66" s="13" t="s">
        <v>315</v>
      </c>
      <c r="L66" s="13"/>
      <c r="M66" s="11" t="s">
        <v>316</v>
      </c>
      <c r="N66" s="54" t="s">
        <v>469</v>
      </c>
      <c r="O66" s="13" t="s">
        <v>470</v>
      </c>
      <c r="P66" s="13">
        <v>18685886809</v>
      </c>
      <c r="Q66" s="54" t="s">
        <v>1505</v>
      </c>
      <c r="R66" s="54" t="s">
        <v>1506</v>
      </c>
      <c r="S66" s="57" t="s">
        <v>1507</v>
      </c>
      <c r="T66" s="57" t="s">
        <v>1506</v>
      </c>
      <c r="U66" s="62" t="s">
        <v>1471</v>
      </c>
      <c r="V66" s="58" t="s">
        <v>1472</v>
      </c>
      <c r="W66" s="70" t="s">
        <v>1473</v>
      </c>
      <c r="X66" s="71">
        <v>1023.598</v>
      </c>
      <c r="Y66" s="73"/>
      <c r="Z66" s="73"/>
      <c r="AA66" s="61" t="s">
        <v>1474</v>
      </c>
      <c r="AB66" s="18"/>
      <c r="AC66" s="19"/>
      <c r="AD66" s="19"/>
      <c r="AE66" s="19"/>
    </row>
    <row r="67" ht="31" spans="1:31">
      <c r="A67" s="13" t="s">
        <v>39</v>
      </c>
      <c r="B67" s="13" t="s">
        <v>40</v>
      </c>
      <c r="C67" s="13" t="s">
        <v>41</v>
      </c>
      <c r="D67" s="54" t="s">
        <v>368</v>
      </c>
      <c r="E67" s="55"/>
      <c r="F67" s="13" t="s">
        <v>43</v>
      </c>
      <c r="G67" s="13" t="s">
        <v>44</v>
      </c>
      <c r="H67" s="13" t="s">
        <v>45</v>
      </c>
      <c r="I67" s="11" t="s">
        <v>313</v>
      </c>
      <c r="J67" s="54" t="s">
        <v>314</v>
      </c>
      <c r="K67" s="13" t="s">
        <v>315</v>
      </c>
      <c r="L67" s="13"/>
      <c r="M67" s="11" t="s">
        <v>316</v>
      </c>
      <c r="N67" s="54" t="s">
        <v>469</v>
      </c>
      <c r="O67" s="13" t="s">
        <v>470</v>
      </c>
      <c r="P67" s="13">
        <v>18685886809</v>
      </c>
      <c r="Q67" s="54" t="s">
        <v>1508</v>
      </c>
      <c r="R67" s="54" t="s">
        <v>1509</v>
      </c>
      <c r="S67" s="57" t="s">
        <v>1510</v>
      </c>
      <c r="T67" s="57" t="s">
        <v>1509</v>
      </c>
      <c r="U67" s="62" t="s">
        <v>1471</v>
      </c>
      <c r="V67" s="58" t="s">
        <v>1472</v>
      </c>
      <c r="W67" s="70" t="s">
        <v>1473</v>
      </c>
      <c r="X67" s="71">
        <v>1023.598</v>
      </c>
      <c r="Y67" s="73"/>
      <c r="Z67" s="73"/>
      <c r="AA67" s="61" t="s">
        <v>1474</v>
      </c>
      <c r="AB67" s="18"/>
      <c r="AC67" s="19"/>
      <c r="AD67" s="19"/>
      <c r="AE67" s="19"/>
    </row>
    <row r="68" ht="31" spans="1:31">
      <c r="A68" s="13" t="s">
        <v>39</v>
      </c>
      <c r="B68" s="13" t="s">
        <v>40</v>
      </c>
      <c r="C68" s="13" t="s">
        <v>41</v>
      </c>
      <c r="D68" s="54" t="s">
        <v>368</v>
      </c>
      <c r="E68" s="55"/>
      <c r="F68" s="13" t="s">
        <v>43</v>
      </c>
      <c r="G68" s="13" t="s">
        <v>44</v>
      </c>
      <c r="H68" s="13" t="s">
        <v>45</v>
      </c>
      <c r="I68" s="11" t="s">
        <v>313</v>
      </c>
      <c r="J68" s="54" t="s">
        <v>314</v>
      </c>
      <c r="K68" s="13" t="s">
        <v>315</v>
      </c>
      <c r="L68" s="13"/>
      <c r="M68" s="11" t="s">
        <v>316</v>
      </c>
      <c r="N68" s="54" t="s">
        <v>469</v>
      </c>
      <c r="O68" s="13" t="s">
        <v>470</v>
      </c>
      <c r="P68" s="13">
        <v>18685886809</v>
      </c>
      <c r="Q68" s="54" t="s">
        <v>1511</v>
      </c>
      <c r="R68" s="54" t="s">
        <v>1512</v>
      </c>
      <c r="S68" s="57" t="s">
        <v>1513</v>
      </c>
      <c r="T68" s="57" t="s">
        <v>1512</v>
      </c>
      <c r="U68" s="62" t="s">
        <v>1471</v>
      </c>
      <c r="V68" s="58" t="s">
        <v>1472</v>
      </c>
      <c r="W68" s="70" t="s">
        <v>1473</v>
      </c>
      <c r="X68" s="71">
        <v>1023.598</v>
      </c>
      <c r="Y68" s="73"/>
      <c r="Z68" s="73"/>
      <c r="AA68" s="61" t="s">
        <v>1474</v>
      </c>
      <c r="AB68" s="18"/>
      <c r="AC68" s="19"/>
      <c r="AD68" s="19"/>
      <c r="AE68" s="19"/>
    </row>
    <row r="69" ht="31" spans="1:31">
      <c r="A69" s="13" t="s">
        <v>39</v>
      </c>
      <c r="B69" s="13" t="s">
        <v>40</v>
      </c>
      <c r="C69" s="13" t="s">
        <v>41</v>
      </c>
      <c r="D69" s="54" t="s">
        <v>368</v>
      </c>
      <c r="E69" s="55"/>
      <c r="F69" s="13" t="s">
        <v>43</v>
      </c>
      <c r="G69" s="13" t="s">
        <v>44</v>
      </c>
      <c r="H69" s="13" t="s">
        <v>45</v>
      </c>
      <c r="I69" s="11" t="s">
        <v>313</v>
      </c>
      <c r="J69" s="54" t="s">
        <v>314</v>
      </c>
      <c r="K69" s="13" t="s">
        <v>315</v>
      </c>
      <c r="L69" s="13"/>
      <c r="M69" s="11" t="s">
        <v>316</v>
      </c>
      <c r="N69" s="54" t="s">
        <v>469</v>
      </c>
      <c r="O69" s="13" t="s">
        <v>470</v>
      </c>
      <c r="P69" s="13">
        <v>18685886809</v>
      </c>
      <c r="Q69" s="54" t="s">
        <v>1514</v>
      </c>
      <c r="R69" s="54" t="s">
        <v>1515</v>
      </c>
      <c r="S69" s="57" t="s">
        <v>1516</v>
      </c>
      <c r="T69" s="57" t="s">
        <v>1515</v>
      </c>
      <c r="U69" s="62" t="s">
        <v>1471</v>
      </c>
      <c r="V69" s="58" t="s">
        <v>1472</v>
      </c>
      <c r="W69" s="70" t="s">
        <v>1473</v>
      </c>
      <c r="X69" s="71">
        <v>1023.598</v>
      </c>
      <c r="Y69" s="73"/>
      <c r="Z69" s="73"/>
      <c r="AA69" s="61" t="s">
        <v>1474</v>
      </c>
      <c r="AB69" s="18"/>
      <c r="AC69" s="19"/>
      <c r="AD69" s="19"/>
      <c r="AE69" s="19"/>
    </row>
    <row r="70" ht="31" spans="1:31">
      <c r="A70" s="13" t="s">
        <v>39</v>
      </c>
      <c r="B70" s="13" t="s">
        <v>40</v>
      </c>
      <c r="C70" s="13" t="s">
        <v>41</v>
      </c>
      <c r="D70" s="54" t="s">
        <v>368</v>
      </c>
      <c r="E70" s="55"/>
      <c r="F70" s="13" t="s">
        <v>43</v>
      </c>
      <c r="G70" s="13" t="s">
        <v>44</v>
      </c>
      <c r="H70" s="13" t="s">
        <v>45</v>
      </c>
      <c r="I70" s="11" t="s">
        <v>313</v>
      </c>
      <c r="J70" s="54" t="s">
        <v>314</v>
      </c>
      <c r="K70" s="13" t="s">
        <v>315</v>
      </c>
      <c r="L70" s="13"/>
      <c r="M70" s="11" t="s">
        <v>316</v>
      </c>
      <c r="N70" s="54" t="s">
        <v>469</v>
      </c>
      <c r="O70" s="13" t="s">
        <v>470</v>
      </c>
      <c r="P70" s="13">
        <v>18685886809</v>
      </c>
      <c r="Q70" s="54" t="s">
        <v>1517</v>
      </c>
      <c r="R70" s="54" t="s">
        <v>538</v>
      </c>
      <c r="S70" s="57" t="s">
        <v>1518</v>
      </c>
      <c r="T70" s="57" t="s">
        <v>538</v>
      </c>
      <c r="U70" s="62" t="s">
        <v>1471</v>
      </c>
      <c r="V70" s="58" t="s">
        <v>1472</v>
      </c>
      <c r="W70" s="70" t="s">
        <v>1473</v>
      </c>
      <c r="X70" s="71">
        <v>1023.598</v>
      </c>
      <c r="Y70" s="73"/>
      <c r="Z70" s="73"/>
      <c r="AA70" s="61" t="s">
        <v>1474</v>
      </c>
      <c r="AB70" s="18"/>
      <c r="AC70" s="19"/>
      <c r="AD70" s="19"/>
      <c r="AE70" s="19"/>
    </row>
    <row r="71" ht="31" spans="1:31">
      <c r="A71" s="13" t="s">
        <v>39</v>
      </c>
      <c r="B71" s="13" t="s">
        <v>40</v>
      </c>
      <c r="C71" s="13" t="s">
        <v>41</v>
      </c>
      <c r="D71" s="54" t="s">
        <v>368</v>
      </c>
      <c r="E71" s="55"/>
      <c r="F71" s="13" t="s">
        <v>43</v>
      </c>
      <c r="G71" s="13" t="s">
        <v>44</v>
      </c>
      <c r="H71" s="13" t="s">
        <v>45</v>
      </c>
      <c r="I71" s="11" t="s">
        <v>313</v>
      </c>
      <c r="J71" s="54" t="s">
        <v>314</v>
      </c>
      <c r="K71" s="13" t="s">
        <v>315</v>
      </c>
      <c r="L71" s="13"/>
      <c r="M71" s="11" t="s">
        <v>316</v>
      </c>
      <c r="N71" s="54" t="s">
        <v>469</v>
      </c>
      <c r="O71" s="13" t="s">
        <v>470</v>
      </c>
      <c r="P71" s="13">
        <v>18685886809</v>
      </c>
      <c r="Q71" s="54" t="s">
        <v>1519</v>
      </c>
      <c r="R71" s="54" t="s">
        <v>491</v>
      </c>
      <c r="S71" s="57" t="s">
        <v>1520</v>
      </c>
      <c r="T71" s="57" t="s">
        <v>491</v>
      </c>
      <c r="U71" s="62" t="s">
        <v>1471</v>
      </c>
      <c r="V71" s="58" t="s">
        <v>1472</v>
      </c>
      <c r="W71" s="70" t="s">
        <v>1473</v>
      </c>
      <c r="X71" s="71">
        <v>1023.598</v>
      </c>
      <c r="Y71" s="73"/>
      <c r="Z71" s="73"/>
      <c r="AA71" s="61" t="s">
        <v>1474</v>
      </c>
      <c r="AB71" s="18"/>
      <c r="AC71" s="19"/>
      <c r="AD71" s="19"/>
      <c r="AE71" s="19"/>
    </row>
    <row r="72" ht="31" spans="1:31">
      <c r="A72" s="13" t="s">
        <v>39</v>
      </c>
      <c r="B72" s="13" t="s">
        <v>40</v>
      </c>
      <c r="C72" s="13" t="s">
        <v>41</v>
      </c>
      <c r="D72" s="54" t="s">
        <v>368</v>
      </c>
      <c r="E72" s="55"/>
      <c r="F72" s="13" t="s">
        <v>43</v>
      </c>
      <c r="G72" s="13" t="s">
        <v>44</v>
      </c>
      <c r="H72" s="13" t="s">
        <v>45</v>
      </c>
      <c r="I72" s="11" t="s">
        <v>313</v>
      </c>
      <c r="J72" s="54" t="s">
        <v>314</v>
      </c>
      <c r="K72" s="13" t="s">
        <v>315</v>
      </c>
      <c r="L72" s="13"/>
      <c r="M72" s="11" t="s">
        <v>316</v>
      </c>
      <c r="N72" s="54" t="s">
        <v>469</v>
      </c>
      <c r="O72" s="13" t="s">
        <v>470</v>
      </c>
      <c r="P72" s="13">
        <v>18685886809</v>
      </c>
      <c r="Q72" s="54" t="s">
        <v>1521</v>
      </c>
      <c r="R72" s="54" t="s">
        <v>1522</v>
      </c>
      <c r="S72" s="57" t="s">
        <v>1523</v>
      </c>
      <c r="T72" s="57" t="s">
        <v>1522</v>
      </c>
      <c r="U72" s="62" t="s">
        <v>1471</v>
      </c>
      <c r="V72" s="58" t="s">
        <v>1472</v>
      </c>
      <c r="W72" s="70" t="s">
        <v>1473</v>
      </c>
      <c r="X72" s="71">
        <v>1023.598</v>
      </c>
      <c r="Y72" s="73"/>
      <c r="Z72" s="73"/>
      <c r="AA72" s="61" t="s">
        <v>1474</v>
      </c>
      <c r="AB72" s="18"/>
      <c r="AC72" s="19"/>
      <c r="AD72" s="19"/>
      <c r="AE72" s="19"/>
    </row>
    <row r="73" ht="31" spans="1:31">
      <c r="A73" s="13" t="s">
        <v>39</v>
      </c>
      <c r="B73" s="13" t="s">
        <v>40</v>
      </c>
      <c r="C73" s="13" t="s">
        <v>41</v>
      </c>
      <c r="D73" s="54" t="s">
        <v>368</v>
      </c>
      <c r="E73" s="55"/>
      <c r="F73" s="13" t="s">
        <v>43</v>
      </c>
      <c r="G73" s="13" t="s">
        <v>44</v>
      </c>
      <c r="H73" s="13" t="s">
        <v>45</v>
      </c>
      <c r="I73" s="11" t="s">
        <v>313</v>
      </c>
      <c r="J73" s="54" t="s">
        <v>314</v>
      </c>
      <c r="K73" s="13" t="s">
        <v>315</v>
      </c>
      <c r="L73" s="13"/>
      <c r="M73" s="11" t="s">
        <v>316</v>
      </c>
      <c r="N73" s="54" t="s">
        <v>469</v>
      </c>
      <c r="O73" s="13" t="s">
        <v>470</v>
      </c>
      <c r="P73" s="13">
        <v>18685886809</v>
      </c>
      <c r="Q73" s="54" t="s">
        <v>336</v>
      </c>
      <c r="R73" s="54" t="s">
        <v>613</v>
      </c>
      <c r="S73" s="57" t="s">
        <v>338</v>
      </c>
      <c r="T73" s="57" t="s">
        <v>613</v>
      </c>
      <c r="U73" s="62" t="s">
        <v>1471</v>
      </c>
      <c r="V73" s="58" t="s">
        <v>1472</v>
      </c>
      <c r="W73" s="70" t="s">
        <v>1473</v>
      </c>
      <c r="X73" s="71">
        <v>1023.598</v>
      </c>
      <c r="Y73" s="73"/>
      <c r="Z73" s="73"/>
      <c r="AA73" s="61" t="s">
        <v>1474</v>
      </c>
      <c r="AB73" s="18"/>
      <c r="AC73" s="19"/>
      <c r="AD73" s="19"/>
      <c r="AE73" s="19"/>
    </row>
    <row r="74" ht="31" spans="1:31">
      <c r="A74" s="13" t="s">
        <v>39</v>
      </c>
      <c r="B74" s="13" t="s">
        <v>40</v>
      </c>
      <c r="C74" s="13" t="s">
        <v>41</v>
      </c>
      <c r="D74" s="54" t="s">
        <v>368</v>
      </c>
      <c r="E74" s="55"/>
      <c r="F74" s="13" t="s">
        <v>43</v>
      </c>
      <c r="G74" s="13" t="s">
        <v>44</v>
      </c>
      <c r="H74" s="13" t="s">
        <v>45</v>
      </c>
      <c r="I74" s="11" t="s">
        <v>313</v>
      </c>
      <c r="J74" s="54" t="s">
        <v>314</v>
      </c>
      <c r="K74" s="13" t="s">
        <v>315</v>
      </c>
      <c r="L74" s="13"/>
      <c r="M74" s="11" t="s">
        <v>316</v>
      </c>
      <c r="N74" s="54" t="s">
        <v>469</v>
      </c>
      <c r="O74" s="13" t="s">
        <v>470</v>
      </c>
      <c r="P74" s="13">
        <v>18685886809</v>
      </c>
      <c r="Q74" s="54" t="s">
        <v>1524</v>
      </c>
      <c r="R74" s="54" t="s">
        <v>445</v>
      </c>
      <c r="S74" s="57" t="s">
        <v>1525</v>
      </c>
      <c r="T74" s="57" t="s">
        <v>1526</v>
      </c>
      <c r="U74" s="62" t="s">
        <v>1471</v>
      </c>
      <c r="V74" s="58" t="s">
        <v>1472</v>
      </c>
      <c r="W74" s="70" t="s">
        <v>1473</v>
      </c>
      <c r="X74" s="71">
        <v>1023.598</v>
      </c>
      <c r="Y74" s="73"/>
      <c r="Z74" s="73"/>
      <c r="AA74" s="61" t="s">
        <v>1474</v>
      </c>
      <c r="AB74" s="18"/>
      <c r="AC74" s="19"/>
      <c r="AD74" s="19"/>
      <c r="AE74" s="19"/>
    </row>
    <row r="75" ht="31" spans="1:31">
      <c r="A75" s="13" t="s">
        <v>39</v>
      </c>
      <c r="B75" s="13" t="s">
        <v>40</v>
      </c>
      <c r="C75" s="13" t="s">
        <v>41</v>
      </c>
      <c r="D75" s="54" t="s">
        <v>368</v>
      </c>
      <c r="E75" s="55"/>
      <c r="F75" s="13" t="s">
        <v>43</v>
      </c>
      <c r="G75" s="13" t="s">
        <v>44</v>
      </c>
      <c r="H75" s="13" t="s">
        <v>45</v>
      </c>
      <c r="I75" s="11" t="s">
        <v>313</v>
      </c>
      <c r="J75" s="54" t="s">
        <v>314</v>
      </c>
      <c r="K75" s="13" t="s">
        <v>315</v>
      </c>
      <c r="L75" s="13"/>
      <c r="M75" s="11" t="s">
        <v>316</v>
      </c>
      <c r="N75" s="54" t="s">
        <v>469</v>
      </c>
      <c r="O75" s="13" t="s">
        <v>470</v>
      </c>
      <c r="P75" s="13">
        <v>18685886809</v>
      </c>
      <c r="Q75" s="54" t="s">
        <v>1527</v>
      </c>
      <c r="R75" s="54" t="s">
        <v>717</v>
      </c>
      <c r="S75" s="57" t="s">
        <v>1528</v>
      </c>
      <c r="T75" s="57" t="s">
        <v>717</v>
      </c>
      <c r="U75" s="62" t="s">
        <v>1471</v>
      </c>
      <c r="V75" s="58" t="s">
        <v>1529</v>
      </c>
      <c r="W75" s="70" t="s">
        <v>1473</v>
      </c>
      <c r="X75" s="71">
        <v>1023.598</v>
      </c>
      <c r="Y75" s="73"/>
      <c r="Z75" s="73"/>
      <c r="AA75" s="61" t="s">
        <v>1474</v>
      </c>
      <c r="AB75" s="18"/>
      <c r="AC75" s="19"/>
      <c r="AD75" s="19"/>
      <c r="AE75" s="19"/>
    </row>
    <row r="76" ht="31" spans="1:31">
      <c r="A76" s="13" t="s">
        <v>39</v>
      </c>
      <c r="B76" s="13" t="s">
        <v>40</v>
      </c>
      <c r="C76" s="13" t="s">
        <v>41</v>
      </c>
      <c r="D76" s="54" t="s">
        <v>368</v>
      </c>
      <c r="E76" s="55"/>
      <c r="F76" s="13" t="s">
        <v>43</v>
      </c>
      <c r="G76" s="13" t="s">
        <v>44</v>
      </c>
      <c r="H76" s="13" t="s">
        <v>45</v>
      </c>
      <c r="I76" s="11" t="s">
        <v>313</v>
      </c>
      <c r="J76" s="54" t="s">
        <v>314</v>
      </c>
      <c r="K76" s="13" t="s">
        <v>315</v>
      </c>
      <c r="L76" s="13"/>
      <c r="M76" s="11" t="s">
        <v>316</v>
      </c>
      <c r="N76" s="54" t="s">
        <v>469</v>
      </c>
      <c r="O76" s="13" t="s">
        <v>470</v>
      </c>
      <c r="P76" s="13">
        <v>18685886809</v>
      </c>
      <c r="Q76" s="54" t="s">
        <v>336</v>
      </c>
      <c r="R76" s="54" t="s">
        <v>613</v>
      </c>
      <c r="S76" s="57" t="s">
        <v>338</v>
      </c>
      <c r="T76" s="57" t="s">
        <v>613</v>
      </c>
      <c r="U76" s="62" t="s">
        <v>1471</v>
      </c>
      <c r="V76" s="58" t="s">
        <v>1529</v>
      </c>
      <c r="W76" s="70" t="s">
        <v>1473</v>
      </c>
      <c r="X76" s="71">
        <v>1023.598</v>
      </c>
      <c r="Y76" s="73"/>
      <c r="Z76" s="73"/>
      <c r="AA76" s="61" t="s">
        <v>1474</v>
      </c>
      <c r="AB76" s="18"/>
      <c r="AC76" s="19"/>
      <c r="AD76" s="19"/>
      <c r="AE76" s="19"/>
    </row>
    <row r="77" ht="31" spans="1:31">
      <c r="A77" s="13" t="s">
        <v>39</v>
      </c>
      <c r="B77" s="13" t="s">
        <v>40</v>
      </c>
      <c r="C77" s="13" t="s">
        <v>41</v>
      </c>
      <c r="D77" s="54" t="s">
        <v>368</v>
      </c>
      <c r="E77" s="55"/>
      <c r="F77" s="13" t="s">
        <v>43</v>
      </c>
      <c r="G77" s="13" t="s">
        <v>44</v>
      </c>
      <c r="H77" s="13" t="s">
        <v>45</v>
      </c>
      <c r="I77" s="11" t="s">
        <v>313</v>
      </c>
      <c r="J77" s="54" t="s">
        <v>314</v>
      </c>
      <c r="K77" s="13" t="s">
        <v>315</v>
      </c>
      <c r="L77" s="13"/>
      <c r="M77" s="11" t="s">
        <v>316</v>
      </c>
      <c r="N77" s="54" t="s">
        <v>469</v>
      </c>
      <c r="O77" s="13" t="s">
        <v>470</v>
      </c>
      <c r="P77" s="13">
        <v>18685886809</v>
      </c>
      <c r="Q77" s="54" t="s">
        <v>1530</v>
      </c>
      <c r="R77" s="54" t="s">
        <v>534</v>
      </c>
      <c r="S77" s="57" t="s">
        <v>1531</v>
      </c>
      <c r="T77" s="57" t="s">
        <v>534</v>
      </c>
      <c r="U77" s="62" t="s">
        <v>1471</v>
      </c>
      <c r="V77" s="58" t="s">
        <v>1529</v>
      </c>
      <c r="W77" s="70" t="s">
        <v>1473</v>
      </c>
      <c r="X77" s="71">
        <v>1023.598</v>
      </c>
      <c r="Y77" s="73"/>
      <c r="Z77" s="73"/>
      <c r="AA77" s="61" t="s">
        <v>1474</v>
      </c>
      <c r="AB77" s="18"/>
      <c r="AC77" s="19"/>
      <c r="AD77" s="19"/>
      <c r="AE77" s="19"/>
    </row>
    <row r="78" ht="31" spans="1:31">
      <c r="A78" s="13" t="s">
        <v>39</v>
      </c>
      <c r="B78" s="13" t="s">
        <v>40</v>
      </c>
      <c r="C78" s="13" t="s">
        <v>41</v>
      </c>
      <c r="D78" s="54" t="s">
        <v>368</v>
      </c>
      <c r="E78" s="55"/>
      <c r="F78" s="13" t="s">
        <v>43</v>
      </c>
      <c r="G78" s="13" t="s">
        <v>44</v>
      </c>
      <c r="H78" s="13" t="s">
        <v>45</v>
      </c>
      <c r="I78" s="11" t="s">
        <v>313</v>
      </c>
      <c r="J78" s="54" t="s">
        <v>314</v>
      </c>
      <c r="K78" s="13" t="s">
        <v>315</v>
      </c>
      <c r="L78" s="13"/>
      <c r="M78" s="11" t="s">
        <v>316</v>
      </c>
      <c r="N78" s="54" t="s">
        <v>469</v>
      </c>
      <c r="O78" s="13" t="s">
        <v>470</v>
      </c>
      <c r="P78" s="13">
        <v>18685886809</v>
      </c>
      <c r="Q78" s="54" t="s">
        <v>1532</v>
      </c>
      <c r="R78" s="54" t="s">
        <v>465</v>
      </c>
      <c r="S78" s="57" t="s">
        <v>1533</v>
      </c>
      <c r="T78" s="57" t="s">
        <v>465</v>
      </c>
      <c r="U78" s="62" t="s">
        <v>1471</v>
      </c>
      <c r="V78" s="58" t="s">
        <v>1529</v>
      </c>
      <c r="W78" s="70" t="s">
        <v>1473</v>
      </c>
      <c r="X78" s="71">
        <v>1023.598</v>
      </c>
      <c r="Y78" s="73"/>
      <c r="Z78" s="73"/>
      <c r="AA78" s="61" t="s">
        <v>1474</v>
      </c>
      <c r="AB78" s="18"/>
      <c r="AC78" s="19"/>
      <c r="AD78" s="19"/>
      <c r="AE78" s="19"/>
    </row>
    <row r="79" spans="1:31">
      <c r="A79" s="13" t="s">
        <v>39</v>
      </c>
      <c r="B79" s="13" t="s">
        <v>40</v>
      </c>
      <c r="C79" s="13" t="s">
        <v>41</v>
      </c>
      <c r="D79" s="54" t="s">
        <v>368</v>
      </c>
      <c r="E79" s="55"/>
      <c r="F79" s="13" t="s">
        <v>43</v>
      </c>
      <c r="G79" s="13" t="s">
        <v>44</v>
      </c>
      <c r="H79" s="13" t="s">
        <v>45</v>
      </c>
      <c r="I79" s="11" t="s">
        <v>313</v>
      </c>
      <c r="J79" s="54" t="s">
        <v>314</v>
      </c>
      <c r="K79" s="13" t="s">
        <v>315</v>
      </c>
      <c r="L79" s="13"/>
      <c r="M79" s="11" t="s">
        <v>369</v>
      </c>
      <c r="N79" s="54" t="s">
        <v>370</v>
      </c>
      <c r="O79" s="13" t="s">
        <v>371</v>
      </c>
      <c r="P79" s="13">
        <v>15224008917</v>
      </c>
      <c r="Q79" s="54" t="s">
        <v>372</v>
      </c>
      <c r="R79" s="54" t="s">
        <v>410</v>
      </c>
      <c r="S79" s="57" t="s">
        <v>374</v>
      </c>
      <c r="T79" s="57" t="s">
        <v>1534</v>
      </c>
      <c r="U79" s="62" t="s">
        <v>1535</v>
      </c>
      <c r="V79" s="58" t="s">
        <v>1529</v>
      </c>
      <c r="W79" s="62" t="s">
        <v>418</v>
      </c>
      <c r="X79" s="60">
        <v>0.92</v>
      </c>
      <c r="Y79" s="60">
        <v>0.92</v>
      </c>
      <c r="Z79" s="60">
        <v>0.92</v>
      </c>
      <c r="AA79" s="61" t="s">
        <v>1420</v>
      </c>
      <c r="AB79" s="18"/>
      <c r="AC79" s="19"/>
      <c r="AD79" s="19"/>
      <c r="AE79" s="19"/>
    </row>
    <row r="80" spans="1:31">
      <c r="A80" s="13" t="s">
        <v>39</v>
      </c>
      <c r="B80" s="13" t="s">
        <v>40</v>
      </c>
      <c r="C80" s="13" t="s">
        <v>41</v>
      </c>
      <c r="D80" s="54" t="s">
        <v>368</v>
      </c>
      <c r="E80" s="55"/>
      <c r="F80" s="13" t="s">
        <v>43</v>
      </c>
      <c r="G80" s="13" t="s">
        <v>44</v>
      </c>
      <c r="H80" s="13" t="s">
        <v>45</v>
      </c>
      <c r="I80" s="11" t="s">
        <v>313</v>
      </c>
      <c r="J80" s="54" t="s">
        <v>314</v>
      </c>
      <c r="K80" s="13" t="s">
        <v>315</v>
      </c>
      <c r="L80" s="13"/>
      <c r="M80" s="11" t="s">
        <v>369</v>
      </c>
      <c r="N80" s="54" t="s">
        <v>370</v>
      </c>
      <c r="O80" s="13" t="s">
        <v>371</v>
      </c>
      <c r="P80" s="13">
        <v>15224008917</v>
      </c>
      <c r="Q80" s="54" t="s">
        <v>377</v>
      </c>
      <c r="R80" s="54" t="s">
        <v>1536</v>
      </c>
      <c r="S80" s="57" t="s">
        <v>379</v>
      </c>
      <c r="T80" s="57" t="s">
        <v>1537</v>
      </c>
      <c r="U80" s="62" t="s">
        <v>1535</v>
      </c>
      <c r="V80" s="58" t="s">
        <v>1529</v>
      </c>
      <c r="W80" s="62" t="s">
        <v>443</v>
      </c>
      <c r="X80" s="67">
        <v>0.1875</v>
      </c>
      <c r="Y80" s="60">
        <v>0.17</v>
      </c>
      <c r="Z80" s="60">
        <v>0.17</v>
      </c>
      <c r="AA80" s="61" t="s">
        <v>1420</v>
      </c>
      <c r="AB80" s="18"/>
      <c r="AC80" s="19"/>
      <c r="AD80" s="19"/>
      <c r="AE80" s="19"/>
    </row>
    <row r="81" spans="1:34">
      <c r="A81" s="13" t="s">
        <v>39</v>
      </c>
      <c r="B81" s="13" t="s">
        <v>40</v>
      </c>
      <c r="C81" s="13" t="s">
        <v>41</v>
      </c>
      <c r="D81" s="54" t="s">
        <v>368</v>
      </c>
      <c r="E81" s="55"/>
      <c r="F81" s="13" t="s">
        <v>43</v>
      </c>
      <c r="G81" s="13" t="s">
        <v>44</v>
      </c>
      <c r="H81" s="13" t="s">
        <v>45</v>
      </c>
      <c r="I81" s="11" t="s">
        <v>313</v>
      </c>
      <c r="J81" s="54" t="s">
        <v>314</v>
      </c>
      <c r="K81" s="13" t="s">
        <v>315</v>
      </c>
      <c r="L81" s="13"/>
      <c r="M81" s="11" t="s">
        <v>369</v>
      </c>
      <c r="N81" s="54" t="s">
        <v>370</v>
      </c>
      <c r="O81" s="13" t="s">
        <v>371</v>
      </c>
      <c r="P81" s="13">
        <v>15224008917</v>
      </c>
      <c r="Q81" s="54" t="s">
        <v>377</v>
      </c>
      <c r="R81" s="54" t="s">
        <v>1536</v>
      </c>
      <c r="S81" s="57" t="s">
        <v>382</v>
      </c>
      <c r="T81" s="57" t="s">
        <v>1538</v>
      </c>
      <c r="U81" s="62" t="s">
        <v>1535</v>
      </c>
      <c r="V81" s="58" t="s">
        <v>1529</v>
      </c>
      <c r="W81" s="62" t="s">
        <v>381</v>
      </c>
      <c r="X81" s="67">
        <v>2</v>
      </c>
      <c r="Y81" s="60">
        <v>1.82</v>
      </c>
      <c r="Z81" s="60">
        <v>1.82</v>
      </c>
      <c r="AA81" s="61" t="s">
        <v>1420</v>
      </c>
      <c r="AB81" s="18"/>
      <c r="AC81" s="19"/>
      <c r="AD81" s="19"/>
      <c r="AE81" s="19"/>
    </row>
    <row r="82" spans="1:34">
      <c r="A82" s="13" t="s">
        <v>39</v>
      </c>
      <c r="B82" s="13" t="s">
        <v>40</v>
      </c>
      <c r="C82" s="13" t="s">
        <v>41</v>
      </c>
      <c r="D82" s="54" t="s">
        <v>368</v>
      </c>
      <c r="E82" s="55"/>
      <c r="F82" s="13" t="s">
        <v>43</v>
      </c>
      <c r="G82" s="13" t="s">
        <v>44</v>
      </c>
      <c r="H82" s="13" t="s">
        <v>45</v>
      </c>
      <c r="I82" s="11" t="s">
        <v>313</v>
      </c>
      <c r="J82" s="54" t="s">
        <v>314</v>
      </c>
      <c r="K82" s="13" t="s">
        <v>315</v>
      </c>
      <c r="L82" s="13"/>
      <c r="M82" s="11" t="s">
        <v>369</v>
      </c>
      <c r="N82" s="54" t="s">
        <v>370</v>
      </c>
      <c r="O82" s="13" t="s">
        <v>371</v>
      </c>
      <c r="P82" s="13">
        <v>15224008917</v>
      </c>
      <c r="Q82" s="54" t="s">
        <v>377</v>
      </c>
      <c r="R82" s="54" t="s">
        <v>1536</v>
      </c>
      <c r="S82" s="57" t="s">
        <v>385</v>
      </c>
      <c r="T82" s="57" t="s">
        <v>1539</v>
      </c>
      <c r="U82" s="62" t="s">
        <v>1535</v>
      </c>
      <c r="V82" s="58" t="s">
        <v>1529</v>
      </c>
      <c r="W82" s="62" t="s">
        <v>384</v>
      </c>
      <c r="X82" s="67">
        <v>1.12</v>
      </c>
      <c r="Y82" s="60">
        <v>0.9</v>
      </c>
      <c r="Z82" s="60">
        <v>0.9</v>
      </c>
      <c r="AA82" s="61" t="s">
        <v>1420</v>
      </c>
      <c r="AB82" s="18"/>
      <c r="AC82" s="19"/>
      <c r="AD82" s="19"/>
      <c r="AE82" s="19"/>
    </row>
    <row r="83" spans="1:34">
      <c r="A83" s="13" t="s">
        <v>39</v>
      </c>
      <c r="B83" s="13" t="s">
        <v>40</v>
      </c>
      <c r="C83" s="13" t="s">
        <v>41</v>
      </c>
      <c r="D83" s="54" t="s">
        <v>368</v>
      </c>
      <c r="E83" s="55"/>
      <c r="F83" s="13" t="s">
        <v>43</v>
      </c>
      <c r="G83" s="13" t="s">
        <v>44</v>
      </c>
      <c r="H83" s="13" t="s">
        <v>45</v>
      </c>
      <c r="I83" s="11" t="s">
        <v>313</v>
      </c>
      <c r="J83" s="54" t="s">
        <v>314</v>
      </c>
      <c r="K83" s="13" t="s">
        <v>315</v>
      </c>
      <c r="L83" s="13"/>
      <c r="M83" s="11" t="s">
        <v>369</v>
      </c>
      <c r="N83" s="54" t="s">
        <v>370</v>
      </c>
      <c r="O83" s="13" t="s">
        <v>371</v>
      </c>
      <c r="P83" s="13">
        <v>15224008917</v>
      </c>
      <c r="Q83" s="54" t="s">
        <v>377</v>
      </c>
      <c r="R83" s="54" t="s">
        <v>1536</v>
      </c>
      <c r="S83" s="57" t="s">
        <v>388</v>
      </c>
      <c r="T83" s="57" t="s">
        <v>1540</v>
      </c>
      <c r="U83" s="62" t="s">
        <v>1535</v>
      </c>
      <c r="V83" s="58" t="s">
        <v>1529</v>
      </c>
      <c r="W83" s="62" t="s">
        <v>437</v>
      </c>
      <c r="X83" s="67">
        <v>0.5</v>
      </c>
      <c r="Y83" s="60">
        <v>0.5</v>
      </c>
      <c r="Z83" s="60">
        <v>0.5</v>
      </c>
      <c r="AA83" s="61" t="s">
        <v>1420</v>
      </c>
      <c r="AB83" s="18"/>
      <c r="AC83" s="19"/>
      <c r="AD83" s="19"/>
      <c r="AE83" s="19"/>
    </row>
    <row r="84" spans="1:34">
      <c r="A84" s="13" t="s">
        <v>39</v>
      </c>
      <c r="B84" s="13" t="s">
        <v>40</v>
      </c>
      <c r="C84" s="13" t="s">
        <v>41</v>
      </c>
      <c r="D84" s="54" t="s">
        <v>368</v>
      </c>
      <c r="E84" s="55"/>
      <c r="F84" s="13" t="s">
        <v>43</v>
      </c>
      <c r="G84" s="13" t="s">
        <v>44</v>
      </c>
      <c r="H84" s="13" t="s">
        <v>45</v>
      </c>
      <c r="I84" s="11" t="s">
        <v>313</v>
      </c>
      <c r="J84" s="54" t="s">
        <v>314</v>
      </c>
      <c r="K84" s="13" t="s">
        <v>315</v>
      </c>
      <c r="L84" s="13"/>
      <c r="M84" s="11" t="s">
        <v>369</v>
      </c>
      <c r="N84" s="54" t="s">
        <v>370</v>
      </c>
      <c r="O84" s="13" t="s">
        <v>371</v>
      </c>
      <c r="P84" s="13">
        <v>15224008917</v>
      </c>
      <c r="Q84" s="54" t="s">
        <v>377</v>
      </c>
      <c r="R84" s="54" t="s">
        <v>1536</v>
      </c>
      <c r="S84" s="57" t="s">
        <v>391</v>
      </c>
      <c r="T84" s="57" t="s">
        <v>1541</v>
      </c>
      <c r="U84" s="62" t="s">
        <v>1535</v>
      </c>
      <c r="V84" s="58" t="s">
        <v>1529</v>
      </c>
      <c r="W84" s="62" t="s">
        <v>405</v>
      </c>
      <c r="X84" s="60">
        <v>25.55</v>
      </c>
      <c r="Y84" s="60">
        <v>25.4</v>
      </c>
      <c r="Z84" s="60">
        <v>25.4</v>
      </c>
      <c r="AA84" s="61" t="s">
        <v>1420</v>
      </c>
      <c r="AB84" s="18"/>
      <c r="AC84" s="19"/>
      <c r="AD84" s="19"/>
      <c r="AE84" s="19"/>
    </row>
    <row r="85" spans="1:34">
      <c r="A85" s="13" t="s">
        <v>39</v>
      </c>
      <c r="B85" s="13" t="s">
        <v>40</v>
      </c>
      <c r="C85" s="13" t="s">
        <v>41</v>
      </c>
      <c r="D85" s="54" t="s">
        <v>368</v>
      </c>
      <c r="E85" s="55"/>
      <c r="F85" s="13" t="s">
        <v>43</v>
      </c>
      <c r="G85" s="13" t="s">
        <v>44</v>
      </c>
      <c r="H85" s="13" t="s">
        <v>45</v>
      </c>
      <c r="I85" s="11" t="s">
        <v>313</v>
      </c>
      <c r="J85" s="54" t="s">
        <v>314</v>
      </c>
      <c r="K85" s="13" t="s">
        <v>315</v>
      </c>
      <c r="L85" s="13"/>
      <c r="M85" s="11" t="s">
        <v>369</v>
      </c>
      <c r="N85" s="54" t="s">
        <v>370</v>
      </c>
      <c r="O85" s="13" t="s">
        <v>371</v>
      </c>
      <c r="P85" s="13">
        <v>15224008917</v>
      </c>
      <c r="Q85" s="54" t="s">
        <v>377</v>
      </c>
      <c r="R85" s="54" t="s">
        <v>1536</v>
      </c>
      <c r="S85" s="57" t="s">
        <v>1542</v>
      </c>
      <c r="T85" s="57" t="s">
        <v>1543</v>
      </c>
      <c r="U85" s="62" t="s">
        <v>1535</v>
      </c>
      <c r="V85" s="58" t="s">
        <v>1529</v>
      </c>
      <c r="W85" s="62" t="s">
        <v>415</v>
      </c>
      <c r="X85" s="67">
        <v>0.666</v>
      </c>
      <c r="Y85" s="60">
        <v>0.65</v>
      </c>
      <c r="Z85" s="60">
        <v>0.65</v>
      </c>
      <c r="AA85" s="61" t="s">
        <v>1420</v>
      </c>
      <c r="AB85" s="18"/>
      <c r="AC85" s="19"/>
      <c r="AD85" s="19"/>
      <c r="AE85" s="19"/>
    </row>
    <row r="86" spans="1:34">
      <c r="A86" s="13" t="s">
        <v>39</v>
      </c>
      <c r="B86" s="13" t="s">
        <v>40</v>
      </c>
      <c r="C86" s="13" t="s">
        <v>41</v>
      </c>
      <c r="D86" s="54" t="s">
        <v>368</v>
      </c>
      <c r="E86" s="55"/>
      <c r="F86" s="13" t="s">
        <v>43</v>
      </c>
      <c r="G86" s="13" t="s">
        <v>44</v>
      </c>
      <c r="H86" s="13" t="s">
        <v>45</v>
      </c>
      <c r="I86" s="11" t="s">
        <v>313</v>
      </c>
      <c r="J86" s="54" t="s">
        <v>314</v>
      </c>
      <c r="K86" s="13" t="s">
        <v>315</v>
      </c>
      <c r="L86" s="13"/>
      <c r="M86" s="11" t="s">
        <v>369</v>
      </c>
      <c r="N86" s="54" t="s">
        <v>370</v>
      </c>
      <c r="O86" s="13" t="s">
        <v>371</v>
      </c>
      <c r="P86" s="13">
        <v>15224008917</v>
      </c>
      <c r="Q86" s="54" t="s">
        <v>377</v>
      </c>
      <c r="R86" s="54" t="s">
        <v>1536</v>
      </c>
      <c r="S86" s="57" t="s">
        <v>1544</v>
      </c>
      <c r="T86" s="57" t="s">
        <v>1545</v>
      </c>
      <c r="U86" s="62" t="s">
        <v>1535</v>
      </c>
      <c r="V86" s="58" t="s">
        <v>1529</v>
      </c>
      <c r="W86" s="62" t="s">
        <v>390</v>
      </c>
      <c r="X86" s="67">
        <v>1.8</v>
      </c>
      <c r="Y86" s="60">
        <v>1.95</v>
      </c>
      <c r="Z86" s="60">
        <v>1.27</v>
      </c>
      <c r="AA86" s="61" t="s">
        <v>1420</v>
      </c>
      <c r="AB86" s="18"/>
      <c r="AC86" s="19"/>
      <c r="AD86" s="19"/>
      <c r="AE86" s="19"/>
    </row>
    <row r="87" spans="1:34">
      <c r="A87" s="13" t="s">
        <v>39</v>
      </c>
      <c r="B87" s="13" t="s">
        <v>40</v>
      </c>
      <c r="C87" s="13" t="s">
        <v>41</v>
      </c>
      <c r="D87" s="54" t="s">
        <v>368</v>
      </c>
      <c r="E87" s="55"/>
      <c r="F87" s="13" t="s">
        <v>43</v>
      </c>
      <c r="G87" s="13" t="s">
        <v>44</v>
      </c>
      <c r="H87" s="13" t="s">
        <v>45</v>
      </c>
      <c r="I87" s="11" t="s">
        <v>313</v>
      </c>
      <c r="J87" s="54" t="s">
        <v>314</v>
      </c>
      <c r="K87" s="13" t="s">
        <v>315</v>
      </c>
      <c r="L87" s="13"/>
      <c r="M87" s="11" t="s">
        <v>369</v>
      </c>
      <c r="N87" s="54" t="s">
        <v>370</v>
      </c>
      <c r="O87" s="13" t="s">
        <v>371</v>
      </c>
      <c r="P87" s="13">
        <v>15224008917</v>
      </c>
      <c r="Q87" s="54" t="s">
        <v>377</v>
      </c>
      <c r="R87" s="54" t="s">
        <v>1536</v>
      </c>
      <c r="S87" s="57" t="s">
        <v>1546</v>
      </c>
      <c r="T87" s="57" t="s">
        <v>1547</v>
      </c>
      <c r="U87" s="62" t="s">
        <v>1535</v>
      </c>
      <c r="V87" s="58" t="s">
        <v>1529</v>
      </c>
      <c r="W87" s="62" t="s">
        <v>440</v>
      </c>
      <c r="X87" s="67">
        <v>10</v>
      </c>
      <c r="Y87" s="60">
        <v>6.31</v>
      </c>
      <c r="Z87" s="60">
        <v>6.31</v>
      </c>
      <c r="AA87" s="61" t="s">
        <v>1420</v>
      </c>
      <c r="AB87" s="18"/>
      <c r="AC87" s="19"/>
      <c r="AD87" s="19"/>
      <c r="AE87" s="19"/>
    </row>
    <row r="88" spans="1:34">
      <c r="A88" s="13" t="s">
        <v>39</v>
      </c>
      <c r="B88" s="13" t="s">
        <v>40</v>
      </c>
      <c r="C88" s="13" t="s">
        <v>41</v>
      </c>
      <c r="D88" s="54" t="s">
        <v>368</v>
      </c>
      <c r="E88" s="55"/>
      <c r="F88" s="13" t="s">
        <v>43</v>
      </c>
      <c r="G88" s="13" t="s">
        <v>44</v>
      </c>
      <c r="H88" s="13" t="s">
        <v>45</v>
      </c>
      <c r="I88" s="11" t="s">
        <v>313</v>
      </c>
      <c r="J88" s="54" t="s">
        <v>314</v>
      </c>
      <c r="K88" s="13" t="s">
        <v>315</v>
      </c>
      <c r="L88" s="13"/>
      <c r="M88" s="11" t="s">
        <v>369</v>
      </c>
      <c r="N88" s="54" t="s">
        <v>370</v>
      </c>
      <c r="O88" s="13" t="s">
        <v>371</v>
      </c>
      <c r="P88" s="13">
        <v>15224008917</v>
      </c>
      <c r="Q88" s="54" t="s">
        <v>377</v>
      </c>
      <c r="R88" s="54" t="s">
        <v>1536</v>
      </c>
      <c r="S88" s="57" t="s">
        <v>1548</v>
      </c>
      <c r="T88" s="57" t="s">
        <v>1549</v>
      </c>
      <c r="U88" s="62" t="s">
        <v>1535</v>
      </c>
      <c r="V88" s="58" t="s">
        <v>1529</v>
      </c>
      <c r="W88" s="62" t="s">
        <v>408</v>
      </c>
      <c r="X88" s="67">
        <v>0.12</v>
      </c>
      <c r="Y88" s="60">
        <v>0.12</v>
      </c>
      <c r="Z88" s="60">
        <v>0.12</v>
      </c>
      <c r="AA88" s="61" t="s">
        <v>1420</v>
      </c>
      <c r="AB88" s="18"/>
      <c r="AC88" s="19"/>
      <c r="AD88" s="19"/>
      <c r="AE88" s="19"/>
    </row>
    <row r="89" spans="1:34">
      <c r="A89" s="13" t="s">
        <v>39</v>
      </c>
      <c r="B89" s="13" t="s">
        <v>40</v>
      </c>
      <c r="C89" s="13" t="s">
        <v>41</v>
      </c>
      <c r="D89" s="54" t="s">
        <v>368</v>
      </c>
      <c r="E89" s="55"/>
      <c r="F89" s="13" t="s">
        <v>43</v>
      </c>
      <c r="G89" s="13" t="s">
        <v>44</v>
      </c>
      <c r="H89" s="13" t="s">
        <v>45</v>
      </c>
      <c r="I89" s="11" t="s">
        <v>313</v>
      </c>
      <c r="J89" s="54" t="s">
        <v>314</v>
      </c>
      <c r="K89" s="13" t="s">
        <v>315</v>
      </c>
      <c r="L89" s="13"/>
      <c r="M89" s="11" t="s">
        <v>369</v>
      </c>
      <c r="N89" s="54" t="s">
        <v>370</v>
      </c>
      <c r="O89" s="13" t="s">
        <v>371</v>
      </c>
      <c r="P89" s="13">
        <v>15224008917</v>
      </c>
      <c r="Q89" s="54" t="s">
        <v>394</v>
      </c>
      <c r="R89" s="54" t="s">
        <v>373</v>
      </c>
      <c r="S89" s="57" t="s">
        <v>396</v>
      </c>
      <c r="T89" s="57" t="s">
        <v>373</v>
      </c>
      <c r="U89" s="62" t="s">
        <v>1535</v>
      </c>
      <c r="V89" s="58" t="s">
        <v>1529</v>
      </c>
      <c r="W89" s="62" t="s">
        <v>376</v>
      </c>
      <c r="X89" s="67">
        <v>350</v>
      </c>
      <c r="Y89" s="60">
        <v>318.18</v>
      </c>
      <c r="Z89" s="60">
        <v>0</v>
      </c>
      <c r="AA89" s="61" t="s">
        <v>1420</v>
      </c>
      <c r="AB89" s="18"/>
      <c r="AC89" s="19"/>
      <c r="AD89" s="19"/>
      <c r="AE89" s="19"/>
    </row>
    <row r="90" spans="1:34">
      <c r="A90" s="13" t="s">
        <v>39</v>
      </c>
      <c r="B90" s="13" t="s">
        <v>40</v>
      </c>
      <c r="C90" s="13" t="s">
        <v>41</v>
      </c>
      <c r="D90" s="54" t="s">
        <v>368</v>
      </c>
      <c r="E90" s="55"/>
      <c r="F90" s="13" t="s">
        <v>43</v>
      </c>
      <c r="G90" s="13" t="s">
        <v>44</v>
      </c>
      <c r="H90" s="13" t="s">
        <v>45</v>
      </c>
      <c r="I90" s="11" t="s">
        <v>313</v>
      </c>
      <c r="J90" s="54" t="s">
        <v>314</v>
      </c>
      <c r="K90" s="13" t="s">
        <v>315</v>
      </c>
      <c r="L90" s="13"/>
      <c r="M90" s="11" t="s">
        <v>369</v>
      </c>
      <c r="N90" s="54" t="s">
        <v>370</v>
      </c>
      <c r="O90" s="13" t="s">
        <v>371</v>
      </c>
      <c r="P90" s="13">
        <v>15224008917</v>
      </c>
      <c r="Q90" s="54" t="s">
        <v>399</v>
      </c>
      <c r="R90" s="54" t="s">
        <v>1550</v>
      </c>
      <c r="S90" s="57" t="s">
        <v>401</v>
      </c>
      <c r="T90" s="57" t="s">
        <v>1551</v>
      </c>
      <c r="U90" s="62" t="s">
        <v>1535</v>
      </c>
      <c r="V90" s="58" t="s">
        <v>1529</v>
      </c>
      <c r="W90" s="62" t="s">
        <v>448</v>
      </c>
      <c r="X90" s="67">
        <v>5.035</v>
      </c>
      <c r="Y90" s="60">
        <v>5.03</v>
      </c>
      <c r="Z90" s="60">
        <v>5.03</v>
      </c>
      <c r="AA90" s="61" t="s">
        <v>1420</v>
      </c>
      <c r="AB90" s="18"/>
      <c r="AC90" s="19"/>
      <c r="AD90" s="19"/>
      <c r="AE90" s="19"/>
    </row>
    <row r="91" spans="1:34">
      <c r="A91" s="13" t="s">
        <v>39</v>
      </c>
      <c r="B91" s="13" t="s">
        <v>40</v>
      </c>
      <c r="C91" s="13" t="s">
        <v>41</v>
      </c>
      <c r="D91" s="54" t="s">
        <v>368</v>
      </c>
      <c r="E91" s="55"/>
      <c r="F91" s="13" t="s">
        <v>43</v>
      </c>
      <c r="G91" s="13" t="s">
        <v>44</v>
      </c>
      <c r="H91" s="13" t="s">
        <v>45</v>
      </c>
      <c r="I91" s="11" t="s">
        <v>313</v>
      </c>
      <c r="J91" s="54" t="s">
        <v>314</v>
      </c>
      <c r="K91" s="13" t="s">
        <v>315</v>
      </c>
      <c r="L91" s="13"/>
      <c r="M91" s="11" t="s">
        <v>369</v>
      </c>
      <c r="N91" s="54" t="s">
        <v>370</v>
      </c>
      <c r="O91" s="13" t="s">
        <v>371</v>
      </c>
      <c r="P91" s="13">
        <v>15224008917</v>
      </c>
      <c r="Q91" s="54" t="s">
        <v>409</v>
      </c>
      <c r="R91" s="54" t="s">
        <v>450</v>
      </c>
      <c r="S91" s="57" t="s">
        <v>411</v>
      </c>
      <c r="T91" s="57" t="s">
        <v>1552</v>
      </c>
      <c r="U91" s="62" t="s">
        <v>1535</v>
      </c>
      <c r="V91" s="58" t="s">
        <v>1529</v>
      </c>
      <c r="W91" s="62" t="s">
        <v>455</v>
      </c>
      <c r="X91" s="67">
        <v>3.5</v>
      </c>
      <c r="Y91" s="60">
        <v>3.73</v>
      </c>
      <c r="Z91" s="60">
        <v>3.73</v>
      </c>
      <c r="AA91" s="61" t="s">
        <v>1420</v>
      </c>
      <c r="AB91" s="18"/>
      <c r="AC91" s="19"/>
      <c r="AD91" s="19"/>
      <c r="AE91" s="19"/>
    </row>
    <row r="92" spans="1:34">
      <c r="A92" s="13" t="s">
        <v>39</v>
      </c>
      <c r="B92" s="13" t="s">
        <v>40</v>
      </c>
      <c r="C92" s="13" t="s">
        <v>41</v>
      </c>
      <c r="D92" s="54" t="s">
        <v>368</v>
      </c>
      <c r="E92" s="55"/>
      <c r="F92" s="13" t="s">
        <v>43</v>
      </c>
      <c r="G92" s="13" t="s">
        <v>44</v>
      </c>
      <c r="H92" s="13" t="s">
        <v>45</v>
      </c>
      <c r="I92" s="11" t="s">
        <v>313</v>
      </c>
      <c r="J92" s="54" t="s">
        <v>314</v>
      </c>
      <c r="K92" s="13" t="s">
        <v>315</v>
      </c>
      <c r="L92" s="13"/>
      <c r="M92" s="11" t="s">
        <v>369</v>
      </c>
      <c r="N92" s="54" t="s">
        <v>370</v>
      </c>
      <c r="O92" s="13" t="s">
        <v>371</v>
      </c>
      <c r="P92" s="13">
        <v>15224008917</v>
      </c>
      <c r="Q92" s="54" t="s">
        <v>419</v>
      </c>
      <c r="R92" s="54" t="s">
        <v>1553</v>
      </c>
      <c r="S92" s="57" t="s">
        <v>421</v>
      </c>
      <c r="T92" s="57" t="s">
        <v>1554</v>
      </c>
      <c r="U92" s="62" t="s">
        <v>1535</v>
      </c>
      <c r="V92" s="58" t="s">
        <v>1529</v>
      </c>
      <c r="W92" s="62" t="s">
        <v>387</v>
      </c>
      <c r="X92" s="67">
        <v>3</v>
      </c>
      <c r="Y92" s="60">
        <v>2.97</v>
      </c>
      <c r="Z92" s="60">
        <v>2.97</v>
      </c>
      <c r="AA92" s="61" t="s">
        <v>1420</v>
      </c>
      <c r="AB92" s="18"/>
      <c r="AC92" s="19"/>
      <c r="AD92" s="19"/>
      <c r="AE92" s="19"/>
    </row>
    <row r="93" spans="1:34">
      <c r="A93" s="13" t="s">
        <v>39</v>
      </c>
      <c r="B93" s="13" t="s">
        <v>40</v>
      </c>
      <c r="C93" s="13" t="s">
        <v>41</v>
      </c>
      <c r="D93" s="54" t="s">
        <v>368</v>
      </c>
      <c r="E93" s="55"/>
      <c r="F93" s="13" t="s">
        <v>43</v>
      </c>
      <c r="G93" s="13" t="s">
        <v>44</v>
      </c>
      <c r="H93" s="13" t="s">
        <v>45</v>
      </c>
      <c r="I93" s="11" t="s">
        <v>313</v>
      </c>
      <c r="J93" s="54" t="s">
        <v>314</v>
      </c>
      <c r="K93" s="13" t="s">
        <v>315</v>
      </c>
      <c r="L93" s="13"/>
      <c r="M93" s="11" t="s">
        <v>369</v>
      </c>
      <c r="N93" s="54" t="s">
        <v>370</v>
      </c>
      <c r="O93" s="13" t="s">
        <v>371</v>
      </c>
      <c r="P93" s="13">
        <v>15224008917</v>
      </c>
      <c r="Q93" s="54" t="s">
        <v>419</v>
      </c>
      <c r="R93" s="54" t="s">
        <v>1553</v>
      </c>
      <c r="S93" s="57" t="s">
        <v>1555</v>
      </c>
      <c r="T93" s="57" t="s">
        <v>1556</v>
      </c>
      <c r="U93" s="62" t="s">
        <v>1535</v>
      </c>
      <c r="V93" s="58" t="s">
        <v>1529</v>
      </c>
      <c r="W93" s="62" t="s">
        <v>393</v>
      </c>
      <c r="X93" s="67">
        <v>2</v>
      </c>
      <c r="Y93" s="60">
        <v>2.3</v>
      </c>
      <c r="Z93" s="60">
        <v>2.3</v>
      </c>
      <c r="AA93" s="61" t="s">
        <v>1420</v>
      </c>
      <c r="AB93" s="18"/>
      <c r="AC93" s="19"/>
      <c r="AD93" s="19"/>
      <c r="AE93" s="19"/>
    </row>
    <row r="94" spans="1:34">
      <c r="A94" s="13" t="s">
        <v>39</v>
      </c>
      <c r="B94" s="13" t="s">
        <v>40</v>
      </c>
      <c r="C94" s="13" t="s">
        <v>41</v>
      </c>
      <c r="D94" s="54" t="s">
        <v>368</v>
      </c>
      <c r="E94" s="55"/>
      <c r="F94" s="13" t="s">
        <v>43</v>
      </c>
      <c r="G94" s="13" t="s">
        <v>44</v>
      </c>
      <c r="H94" s="13" t="s">
        <v>45</v>
      </c>
      <c r="I94" s="11" t="s">
        <v>313</v>
      </c>
      <c r="J94" s="54" t="s">
        <v>314</v>
      </c>
      <c r="K94" s="13" t="s">
        <v>315</v>
      </c>
      <c r="L94" s="13"/>
      <c r="M94" s="11" t="s">
        <v>369</v>
      </c>
      <c r="N94" s="54" t="s">
        <v>370</v>
      </c>
      <c r="O94" s="13" t="s">
        <v>371</v>
      </c>
      <c r="P94" s="13">
        <v>15224008917</v>
      </c>
      <c r="Q94" s="54" t="s">
        <v>423</v>
      </c>
      <c r="R94" s="54" t="s">
        <v>457</v>
      </c>
      <c r="S94" s="57" t="s">
        <v>425</v>
      </c>
      <c r="T94" s="57" t="s">
        <v>1557</v>
      </c>
      <c r="U94" s="62" t="s">
        <v>1535</v>
      </c>
      <c r="V94" s="58" t="s">
        <v>1529</v>
      </c>
      <c r="W94" s="62" t="s">
        <v>460</v>
      </c>
      <c r="X94" s="67">
        <v>337</v>
      </c>
      <c r="Y94" s="60">
        <v>355.58</v>
      </c>
      <c r="Z94" s="60">
        <v>284.58</v>
      </c>
      <c r="AA94" s="61" t="s">
        <v>1420</v>
      </c>
      <c r="AB94" s="18"/>
      <c r="AC94" s="19"/>
      <c r="AD94" s="19"/>
      <c r="AE94" s="19"/>
    </row>
    <row r="95" s="33" customFormat="1" spans="1:34">
      <c r="A95" s="13" t="s">
        <v>39</v>
      </c>
      <c r="B95" s="13" t="s">
        <v>40</v>
      </c>
      <c r="C95" s="13" t="s">
        <v>41</v>
      </c>
      <c r="D95" s="54" t="s">
        <v>368</v>
      </c>
      <c r="E95" s="55"/>
      <c r="F95" s="13" t="s">
        <v>43</v>
      </c>
      <c r="G95" s="13" t="s">
        <v>44</v>
      </c>
      <c r="H95" s="13" t="s">
        <v>45</v>
      </c>
      <c r="I95" s="56" t="s">
        <v>313</v>
      </c>
      <c r="J95" s="54" t="s">
        <v>314</v>
      </c>
      <c r="K95" s="13" t="s">
        <v>315</v>
      </c>
      <c r="L95" s="13"/>
      <c r="M95" s="56" t="s">
        <v>369</v>
      </c>
      <c r="N95" s="54" t="s">
        <v>370</v>
      </c>
      <c r="O95" s="13" t="s">
        <v>371</v>
      </c>
      <c r="P95" s="13">
        <v>15224008917</v>
      </c>
      <c r="Q95" s="54" t="s">
        <v>423</v>
      </c>
      <c r="R95" s="54" t="s">
        <v>457</v>
      </c>
      <c r="S95" s="57" t="s">
        <v>1558</v>
      </c>
      <c r="T95" s="57" t="s">
        <v>1559</v>
      </c>
      <c r="U95" s="58" t="s">
        <v>1535</v>
      </c>
      <c r="V95" s="58" t="s">
        <v>1529</v>
      </c>
      <c r="W95" s="58" t="s">
        <v>1560</v>
      </c>
      <c r="X95" s="67">
        <v>1.33</v>
      </c>
      <c r="Y95" s="67">
        <v>1.33</v>
      </c>
      <c r="Z95" s="67">
        <v>1.33</v>
      </c>
      <c r="AA95" s="61" t="s">
        <v>1420</v>
      </c>
      <c r="AB95" s="18"/>
      <c r="AC95" s="19"/>
      <c r="AD95" s="19"/>
      <c r="AE95" s="19"/>
      <c r="AF95" s="38"/>
      <c r="AG95" s="38"/>
      <c r="AH95" s="38"/>
    </row>
    <row r="96" spans="1:34">
      <c r="A96" s="13" t="s">
        <v>39</v>
      </c>
      <c r="B96" s="13" t="s">
        <v>40</v>
      </c>
      <c r="C96" s="13" t="s">
        <v>41</v>
      </c>
      <c r="D96" s="54" t="s">
        <v>368</v>
      </c>
      <c r="E96" s="55"/>
      <c r="F96" s="13" t="s">
        <v>43</v>
      </c>
      <c r="G96" s="13" t="s">
        <v>44</v>
      </c>
      <c r="H96" s="13" t="s">
        <v>45</v>
      </c>
      <c r="I96" s="11" t="s">
        <v>313</v>
      </c>
      <c r="J96" s="54" t="s">
        <v>314</v>
      </c>
      <c r="K96" s="13" t="s">
        <v>315</v>
      </c>
      <c r="L96" s="13"/>
      <c r="M96" s="11" t="s">
        <v>369</v>
      </c>
      <c r="N96" s="54" t="s">
        <v>370</v>
      </c>
      <c r="O96" s="13" t="s">
        <v>371</v>
      </c>
      <c r="P96" s="13">
        <v>15224008917</v>
      </c>
      <c r="Q96" s="54" t="s">
        <v>428</v>
      </c>
      <c r="R96" s="54" t="s">
        <v>424</v>
      </c>
      <c r="S96" s="57" t="s">
        <v>430</v>
      </c>
      <c r="T96" s="57" t="s">
        <v>1561</v>
      </c>
      <c r="U96" s="62" t="s">
        <v>1535</v>
      </c>
      <c r="V96" s="58" t="s">
        <v>1529</v>
      </c>
      <c r="W96" s="62" t="s">
        <v>427</v>
      </c>
      <c r="X96" s="67">
        <v>15</v>
      </c>
      <c r="Y96" s="60">
        <v>5.88</v>
      </c>
      <c r="Z96" s="60">
        <v>5.88</v>
      </c>
      <c r="AA96" s="61" t="s">
        <v>1420</v>
      </c>
      <c r="AB96" s="18"/>
      <c r="AC96" s="19"/>
      <c r="AD96" s="19"/>
      <c r="AE96" s="19"/>
    </row>
    <row r="97" ht="23.25" customHeight="1" spans="1:34">
      <c r="A97" s="13" t="s">
        <v>39</v>
      </c>
      <c r="B97" s="13" t="s">
        <v>40</v>
      </c>
      <c r="C97" s="13" t="s">
        <v>41</v>
      </c>
      <c r="D97" s="54" t="s">
        <v>368</v>
      </c>
      <c r="E97" s="55"/>
      <c r="F97" s="13" t="s">
        <v>43</v>
      </c>
      <c r="G97" s="13" t="s">
        <v>44</v>
      </c>
      <c r="H97" s="13" t="s">
        <v>45</v>
      </c>
      <c r="I97" s="11" t="s">
        <v>313</v>
      </c>
      <c r="J97" s="54" t="s">
        <v>314</v>
      </c>
      <c r="K97" s="13" t="s">
        <v>315</v>
      </c>
      <c r="L97" s="13"/>
      <c r="M97" s="11" t="s">
        <v>369</v>
      </c>
      <c r="N97" s="54" t="s">
        <v>370</v>
      </c>
      <c r="O97" s="13" t="s">
        <v>371</v>
      </c>
      <c r="P97" s="13">
        <v>15224008917</v>
      </c>
      <c r="Q97" s="54" t="s">
        <v>372</v>
      </c>
      <c r="R97" s="54" t="s">
        <v>410</v>
      </c>
      <c r="S97" s="57" t="s">
        <v>1562</v>
      </c>
      <c r="T97" s="57" t="s">
        <v>410</v>
      </c>
      <c r="U97" s="62" t="s">
        <v>1535</v>
      </c>
      <c r="V97" s="58" t="s">
        <v>1529</v>
      </c>
      <c r="W97" s="74" t="s">
        <v>1563</v>
      </c>
      <c r="X97" s="66">
        <f>100+157.55+3.5+0.21+1+3.5+2+1.5+2+0.22+1.5+0.45</f>
        <v>273.43</v>
      </c>
      <c r="Y97" s="60">
        <v>244.27</v>
      </c>
      <c r="Z97" s="60">
        <v>247.51</v>
      </c>
      <c r="AA97" s="61" t="s">
        <v>1474</v>
      </c>
      <c r="AB97" s="18"/>
      <c r="AC97" s="19"/>
      <c r="AD97" s="19"/>
      <c r="AE97" s="19"/>
    </row>
    <row r="98" ht="23.25" customHeight="1" spans="1:34">
      <c r="A98" s="13" t="s">
        <v>39</v>
      </c>
      <c r="B98" s="13" t="s">
        <v>40</v>
      </c>
      <c r="C98" s="13" t="s">
        <v>41</v>
      </c>
      <c r="D98" s="54" t="s">
        <v>368</v>
      </c>
      <c r="E98" s="55"/>
      <c r="F98" s="13" t="s">
        <v>43</v>
      </c>
      <c r="G98" s="13" t="s">
        <v>44</v>
      </c>
      <c r="H98" s="13" t="s">
        <v>45</v>
      </c>
      <c r="I98" s="11" t="s">
        <v>313</v>
      </c>
      <c r="J98" s="54" t="s">
        <v>314</v>
      </c>
      <c r="K98" s="13" t="s">
        <v>315</v>
      </c>
      <c r="L98" s="13"/>
      <c r="M98" s="11" t="s">
        <v>369</v>
      </c>
      <c r="N98" s="54" t="s">
        <v>370</v>
      </c>
      <c r="O98" s="13" t="s">
        <v>371</v>
      </c>
      <c r="P98" s="13">
        <v>15224008917</v>
      </c>
      <c r="Q98" s="54" t="s">
        <v>377</v>
      </c>
      <c r="R98" s="54" t="s">
        <v>1536</v>
      </c>
      <c r="S98" s="57" t="s">
        <v>1564</v>
      </c>
      <c r="T98" s="57" t="s">
        <v>1536</v>
      </c>
      <c r="U98" s="62" t="s">
        <v>1535</v>
      </c>
      <c r="V98" s="58" t="s">
        <v>1529</v>
      </c>
      <c r="W98" s="75"/>
      <c r="X98" s="67"/>
      <c r="Y98"/>
      <c r="Z98"/>
      <c r="AA98" s="61" t="s">
        <v>1474</v>
      </c>
      <c r="AB98" s="18"/>
      <c r="AC98" s="19"/>
      <c r="AD98" s="19"/>
      <c r="AE98" s="19"/>
    </row>
    <row r="99" ht="23.25" customHeight="1" spans="1:34">
      <c r="A99" s="13" t="s">
        <v>39</v>
      </c>
      <c r="B99" s="13" t="s">
        <v>40</v>
      </c>
      <c r="C99" s="13" t="s">
        <v>41</v>
      </c>
      <c r="D99" s="54" t="s">
        <v>368</v>
      </c>
      <c r="E99" s="55"/>
      <c r="F99" s="13" t="s">
        <v>43</v>
      </c>
      <c r="G99" s="13" t="s">
        <v>44</v>
      </c>
      <c r="H99" s="13" t="s">
        <v>45</v>
      </c>
      <c r="I99" s="11" t="s">
        <v>313</v>
      </c>
      <c r="J99" s="54" t="s">
        <v>314</v>
      </c>
      <c r="K99" s="13" t="s">
        <v>315</v>
      </c>
      <c r="L99" s="13"/>
      <c r="M99" s="11" t="s">
        <v>369</v>
      </c>
      <c r="N99" s="54" t="s">
        <v>370</v>
      </c>
      <c r="O99" s="13" t="s">
        <v>371</v>
      </c>
      <c r="P99" s="13">
        <v>15224008917</v>
      </c>
      <c r="Q99" s="54" t="s">
        <v>399</v>
      </c>
      <c r="R99" s="54" t="s">
        <v>1550</v>
      </c>
      <c r="S99" s="57" t="s">
        <v>1565</v>
      </c>
      <c r="T99" s="57" t="s">
        <v>1550</v>
      </c>
      <c r="U99" s="62" t="s">
        <v>1535</v>
      </c>
      <c r="V99" s="58" t="s">
        <v>1529</v>
      </c>
      <c r="W99" s="75"/>
      <c r="X99" s="67"/>
      <c r="Y99"/>
      <c r="Z99"/>
      <c r="AA99" s="61" t="s">
        <v>1474</v>
      </c>
      <c r="AB99" s="18"/>
      <c r="AC99" s="19"/>
      <c r="AD99" s="19"/>
      <c r="AE99" s="19"/>
    </row>
    <row r="100" ht="23.25" customHeight="1" spans="1:34">
      <c r="A100" s="13" t="s">
        <v>39</v>
      </c>
      <c r="B100" s="13" t="s">
        <v>40</v>
      </c>
      <c r="C100" s="13" t="s">
        <v>41</v>
      </c>
      <c r="D100" s="54" t="s">
        <v>368</v>
      </c>
      <c r="E100" s="55"/>
      <c r="F100" s="13" t="s">
        <v>43</v>
      </c>
      <c r="G100" s="13" t="s">
        <v>44</v>
      </c>
      <c r="H100" s="13" t="s">
        <v>45</v>
      </c>
      <c r="I100" s="11" t="s">
        <v>313</v>
      </c>
      <c r="J100" s="54" t="s">
        <v>314</v>
      </c>
      <c r="K100" s="13" t="s">
        <v>315</v>
      </c>
      <c r="L100" s="13"/>
      <c r="M100" s="11" t="s">
        <v>369</v>
      </c>
      <c r="N100" s="54" t="s">
        <v>370</v>
      </c>
      <c r="O100" s="13" t="s">
        <v>371</v>
      </c>
      <c r="P100" s="13">
        <v>15224008917</v>
      </c>
      <c r="Q100" s="54" t="s">
        <v>444</v>
      </c>
      <c r="R100" s="54" t="s">
        <v>378</v>
      </c>
      <c r="S100" s="57" t="s">
        <v>446</v>
      </c>
      <c r="T100" s="57" t="s">
        <v>378</v>
      </c>
      <c r="U100" s="62" t="s">
        <v>1535</v>
      </c>
      <c r="V100" s="58" t="s">
        <v>1529</v>
      </c>
      <c r="W100" s="75"/>
      <c r="X100" s="67"/>
      <c r="Y100"/>
      <c r="Z100"/>
      <c r="AA100" s="61" t="s">
        <v>1474</v>
      </c>
      <c r="AB100" s="18"/>
      <c r="AC100" s="19"/>
      <c r="AD100" s="19"/>
      <c r="AE100" s="19"/>
    </row>
    <row r="101" ht="23.25" customHeight="1" spans="1:34">
      <c r="A101" s="13" t="s">
        <v>39</v>
      </c>
      <c r="B101" s="13" t="s">
        <v>40</v>
      </c>
      <c r="C101" s="13" t="s">
        <v>41</v>
      </c>
      <c r="D101" s="54" t="s">
        <v>368</v>
      </c>
      <c r="E101" s="55"/>
      <c r="F101" s="13" t="s">
        <v>43</v>
      </c>
      <c r="G101" s="13" t="s">
        <v>44</v>
      </c>
      <c r="H101" s="13" t="s">
        <v>45</v>
      </c>
      <c r="I101" s="11" t="s">
        <v>313</v>
      </c>
      <c r="J101" s="54" t="s">
        <v>314</v>
      </c>
      <c r="K101" s="13" t="s">
        <v>315</v>
      </c>
      <c r="L101" s="13"/>
      <c r="M101" s="11" t="s">
        <v>369</v>
      </c>
      <c r="N101" s="54" t="s">
        <v>370</v>
      </c>
      <c r="O101" s="13" t="s">
        <v>371</v>
      </c>
      <c r="P101" s="13">
        <v>15224008917</v>
      </c>
      <c r="Q101" s="54" t="s">
        <v>409</v>
      </c>
      <c r="R101" s="54" t="s">
        <v>450</v>
      </c>
      <c r="S101" s="57" t="s">
        <v>413</v>
      </c>
      <c r="T101" s="57" t="s">
        <v>450</v>
      </c>
      <c r="U101" s="62" t="s">
        <v>1535</v>
      </c>
      <c r="V101" s="58" t="s">
        <v>1529</v>
      </c>
      <c r="W101" s="75"/>
      <c r="X101" s="67"/>
      <c r="Y101"/>
      <c r="Z101"/>
      <c r="AA101" s="61" t="s">
        <v>1474</v>
      </c>
      <c r="AB101" s="18"/>
      <c r="AC101" s="19"/>
      <c r="AD101" s="19"/>
      <c r="AE101" s="19"/>
    </row>
    <row r="102" ht="23.25" customHeight="1" spans="1:34">
      <c r="A102" s="13" t="s">
        <v>39</v>
      </c>
      <c r="B102" s="13" t="s">
        <v>40</v>
      </c>
      <c r="C102" s="13" t="s">
        <v>41</v>
      </c>
      <c r="D102" s="54" t="s">
        <v>368</v>
      </c>
      <c r="E102" s="55"/>
      <c r="F102" s="13" t="s">
        <v>43</v>
      </c>
      <c r="G102" s="13" t="s">
        <v>44</v>
      </c>
      <c r="H102" s="13" t="s">
        <v>45</v>
      </c>
      <c r="I102" s="11" t="s">
        <v>313</v>
      </c>
      <c r="J102" s="54" t="s">
        <v>314</v>
      </c>
      <c r="K102" s="13" t="s">
        <v>315</v>
      </c>
      <c r="L102" s="13"/>
      <c r="M102" s="11" t="s">
        <v>369</v>
      </c>
      <c r="N102" s="54" t="s">
        <v>370</v>
      </c>
      <c r="O102" s="13" t="s">
        <v>371</v>
      </c>
      <c r="P102" s="13">
        <v>15224008917</v>
      </c>
      <c r="Q102" s="54" t="s">
        <v>449</v>
      </c>
      <c r="R102" s="54" t="s">
        <v>429</v>
      </c>
      <c r="S102" s="57" t="s">
        <v>451</v>
      </c>
      <c r="T102" s="57" t="s">
        <v>429</v>
      </c>
      <c r="U102" s="62" t="s">
        <v>1535</v>
      </c>
      <c r="V102" s="58" t="s">
        <v>1529</v>
      </c>
      <c r="W102" s="75"/>
      <c r="X102" s="67"/>
      <c r="Y102"/>
      <c r="Z102"/>
      <c r="AA102" s="61" t="s">
        <v>1474</v>
      </c>
      <c r="AB102" s="18"/>
      <c r="AC102" s="19"/>
      <c r="AD102" s="19"/>
      <c r="AE102" s="19"/>
    </row>
    <row r="103" ht="23.25" customHeight="1" spans="1:34">
      <c r="A103" s="13" t="s">
        <v>39</v>
      </c>
      <c r="B103" s="13" t="s">
        <v>40</v>
      </c>
      <c r="C103" s="13" t="s">
        <v>41</v>
      </c>
      <c r="D103" s="54" t="s">
        <v>368</v>
      </c>
      <c r="E103" s="55"/>
      <c r="F103" s="13" t="s">
        <v>43</v>
      </c>
      <c r="G103" s="13" t="s">
        <v>44</v>
      </c>
      <c r="H103" s="13" t="s">
        <v>45</v>
      </c>
      <c r="I103" s="11" t="s">
        <v>313</v>
      </c>
      <c r="J103" s="54" t="s">
        <v>314</v>
      </c>
      <c r="K103" s="13" t="s">
        <v>315</v>
      </c>
      <c r="L103" s="13"/>
      <c r="M103" s="11" t="s">
        <v>369</v>
      </c>
      <c r="N103" s="54" t="s">
        <v>370</v>
      </c>
      <c r="O103" s="13" t="s">
        <v>371</v>
      </c>
      <c r="P103" s="13">
        <v>15224008917</v>
      </c>
      <c r="Q103" s="54" t="s">
        <v>456</v>
      </c>
      <c r="R103" s="54" t="s">
        <v>395</v>
      </c>
      <c r="S103" s="57" t="s">
        <v>458</v>
      </c>
      <c r="T103" s="57" t="s">
        <v>395</v>
      </c>
      <c r="U103" s="62" t="s">
        <v>1535</v>
      </c>
      <c r="V103" s="58" t="s">
        <v>1529</v>
      </c>
      <c r="W103" s="75"/>
      <c r="X103" s="67"/>
      <c r="Y103"/>
      <c r="Z103"/>
      <c r="AA103" s="61" t="s">
        <v>1474</v>
      </c>
      <c r="AB103" s="18"/>
      <c r="AC103" s="19"/>
      <c r="AD103" s="19"/>
      <c r="AE103" s="19"/>
    </row>
    <row r="104" spans="1:34">
      <c r="A104" s="13" t="s">
        <v>39</v>
      </c>
      <c r="B104" s="13" t="s">
        <v>40</v>
      </c>
      <c r="C104" s="13" t="s">
        <v>41</v>
      </c>
      <c r="D104" s="54" t="s">
        <v>368</v>
      </c>
      <c r="E104" s="55"/>
      <c r="F104" s="13" t="s">
        <v>43</v>
      </c>
      <c r="G104" s="13" t="s">
        <v>44</v>
      </c>
      <c r="H104" s="13" t="s">
        <v>45</v>
      </c>
      <c r="I104" s="11" t="s">
        <v>313</v>
      </c>
      <c r="J104" s="54" t="s">
        <v>314</v>
      </c>
      <c r="K104" s="13" t="s">
        <v>315</v>
      </c>
      <c r="L104" s="13"/>
      <c r="M104" s="11" t="s">
        <v>369</v>
      </c>
      <c r="N104" s="54" t="s">
        <v>370</v>
      </c>
      <c r="O104" s="13"/>
      <c r="P104" s="13"/>
      <c r="Q104" s="54"/>
      <c r="R104" s="76"/>
      <c r="S104" s="69"/>
      <c r="T104" s="69"/>
      <c r="U104" s="62"/>
      <c r="V104" s="58"/>
      <c r="W104" s="62" t="s">
        <v>434</v>
      </c>
      <c r="X104" s="67">
        <v>0.45</v>
      </c>
      <c r="Y104" s="60">
        <v>0.48</v>
      </c>
      <c r="Z104" s="60">
        <v>0.48</v>
      </c>
      <c r="AA104" s="61" t="s">
        <v>1420</v>
      </c>
      <c r="AB104" s="18"/>
      <c r="AC104" s="19"/>
      <c r="AD104" s="19"/>
      <c r="AE104" s="19"/>
      <c r="AF104" s="63"/>
      <c r="AG104" s="63"/>
      <c r="AH104" s="63"/>
    </row>
    <row r="105" ht="16.8" spans="1:34">
      <c r="A105" s="13" t="s">
        <v>39</v>
      </c>
      <c r="B105" s="13" t="s">
        <v>40</v>
      </c>
      <c r="C105" s="13" t="s">
        <v>41</v>
      </c>
      <c r="D105" s="54" t="s">
        <v>312</v>
      </c>
      <c r="E105" s="55"/>
      <c r="F105" s="13" t="s">
        <v>43</v>
      </c>
      <c r="G105" s="13" t="s">
        <v>44</v>
      </c>
      <c r="H105" s="13" t="s">
        <v>45</v>
      </c>
      <c r="I105" s="11" t="s">
        <v>313</v>
      </c>
      <c r="J105" s="54" t="s">
        <v>314</v>
      </c>
      <c r="K105" s="13" t="s">
        <v>315</v>
      </c>
      <c r="L105" s="13"/>
      <c r="M105" s="11" t="s">
        <v>468</v>
      </c>
      <c r="N105" s="54" t="s">
        <v>317</v>
      </c>
      <c r="O105" s="13" t="s">
        <v>318</v>
      </c>
      <c r="P105" s="13">
        <v>15306709841</v>
      </c>
      <c r="Q105" s="54" t="s">
        <v>471</v>
      </c>
      <c r="R105" s="54" t="s">
        <v>365</v>
      </c>
      <c r="S105" s="57" t="s">
        <v>472</v>
      </c>
      <c r="T105" s="57" t="s">
        <v>1566</v>
      </c>
      <c r="U105" s="62" t="s">
        <v>1567</v>
      </c>
      <c r="V105" s="58" t="s">
        <v>1568</v>
      </c>
      <c r="W105" s="62" t="s">
        <v>343</v>
      </c>
      <c r="X105" s="67">
        <v>1.77</v>
      </c>
      <c r="Y105" s="77">
        <v>1.83</v>
      </c>
      <c r="Z105" s="77">
        <v>1.86</v>
      </c>
      <c r="AA105" s="61" t="s">
        <v>1420</v>
      </c>
      <c r="AB105" s="18"/>
      <c r="AC105" s="19"/>
      <c r="AD105" s="19"/>
      <c r="AE105" s="19"/>
    </row>
    <row r="106" ht="16.8" spans="1:34">
      <c r="A106" s="13" t="s">
        <v>39</v>
      </c>
      <c r="B106" s="13" t="s">
        <v>40</v>
      </c>
      <c r="C106" s="13" t="s">
        <v>41</v>
      </c>
      <c r="D106" s="54" t="s">
        <v>312</v>
      </c>
      <c r="E106" s="55"/>
      <c r="F106" s="13" t="s">
        <v>43</v>
      </c>
      <c r="G106" s="13" t="s">
        <v>44</v>
      </c>
      <c r="H106" s="13" t="s">
        <v>45</v>
      </c>
      <c r="I106" s="11" t="s">
        <v>313</v>
      </c>
      <c r="J106" s="54" t="s">
        <v>314</v>
      </c>
      <c r="K106" s="13" t="s">
        <v>315</v>
      </c>
      <c r="L106" s="13"/>
      <c r="M106" s="11" t="s">
        <v>468</v>
      </c>
      <c r="N106" s="54" t="s">
        <v>317</v>
      </c>
      <c r="O106" s="13" t="s">
        <v>318</v>
      </c>
      <c r="P106" s="13">
        <v>15306709841</v>
      </c>
      <c r="Q106" s="54" t="s">
        <v>471</v>
      </c>
      <c r="R106" s="54" t="s">
        <v>365</v>
      </c>
      <c r="S106" s="57" t="s">
        <v>1569</v>
      </c>
      <c r="T106" s="57" t="s">
        <v>1570</v>
      </c>
      <c r="U106" s="62" t="s">
        <v>1567</v>
      </c>
      <c r="V106" s="58" t="s">
        <v>1568</v>
      </c>
      <c r="W106" s="62" t="s">
        <v>346</v>
      </c>
      <c r="X106" s="67">
        <v>0.56</v>
      </c>
      <c r="Y106" s="77">
        <v>0.51</v>
      </c>
      <c r="Z106" s="77">
        <v>0.51</v>
      </c>
      <c r="AA106" s="61" t="s">
        <v>1420</v>
      </c>
      <c r="AB106" s="18"/>
      <c r="AC106" s="19"/>
      <c r="AD106" s="19"/>
      <c r="AE106" s="19"/>
    </row>
    <row r="107" ht="16.8" spans="1:34">
      <c r="A107" s="13" t="s">
        <v>39</v>
      </c>
      <c r="B107" s="13" t="s">
        <v>40</v>
      </c>
      <c r="C107" s="13" t="s">
        <v>41</v>
      </c>
      <c r="D107" s="54" t="s">
        <v>312</v>
      </c>
      <c r="E107" s="55"/>
      <c r="F107" s="13" t="s">
        <v>43</v>
      </c>
      <c r="G107" s="13" t="s">
        <v>44</v>
      </c>
      <c r="H107" s="13" t="s">
        <v>45</v>
      </c>
      <c r="I107" s="11" t="s">
        <v>313</v>
      </c>
      <c r="J107" s="54" t="s">
        <v>314</v>
      </c>
      <c r="K107" s="13" t="s">
        <v>315</v>
      </c>
      <c r="L107" s="13"/>
      <c r="M107" s="11" t="s">
        <v>468</v>
      </c>
      <c r="N107" s="54" t="s">
        <v>317</v>
      </c>
      <c r="O107" s="13" t="s">
        <v>318</v>
      </c>
      <c r="P107" s="13">
        <v>15306709841</v>
      </c>
      <c r="Q107" s="54" t="s">
        <v>471</v>
      </c>
      <c r="R107" s="54" t="s">
        <v>365</v>
      </c>
      <c r="S107" s="57" t="s">
        <v>1571</v>
      </c>
      <c r="T107" s="57" t="s">
        <v>1572</v>
      </c>
      <c r="U107" s="62" t="s">
        <v>1567</v>
      </c>
      <c r="V107" s="58" t="s">
        <v>1568</v>
      </c>
      <c r="W107" s="62" t="s">
        <v>349</v>
      </c>
      <c r="X107" s="67">
        <v>1.626</v>
      </c>
      <c r="Y107" s="77">
        <v>1.55</v>
      </c>
      <c r="Z107" s="77">
        <v>1.55</v>
      </c>
      <c r="AA107" s="61" t="s">
        <v>1420</v>
      </c>
      <c r="AB107" s="18"/>
      <c r="AC107" s="19"/>
      <c r="AD107" s="19"/>
      <c r="AE107" s="19"/>
    </row>
    <row r="108" ht="16.8" spans="1:34">
      <c r="A108" s="13" t="s">
        <v>39</v>
      </c>
      <c r="B108" s="13" t="s">
        <v>40</v>
      </c>
      <c r="C108" s="13" t="s">
        <v>41</v>
      </c>
      <c r="D108" s="54" t="s">
        <v>312</v>
      </c>
      <c r="E108" s="55"/>
      <c r="F108" s="13" t="s">
        <v>43</v>
      </c>
      <c r="G108" s="13" t="s">
        <v>44</v>
      </c>
      <c r="H108" s="13" t="s">
        <v>45</v>
      </c>
      <c r="I108" s="11" t="s">
        <v>313</v>
      </c>
      <c r="J108" s="54" t="s">
        <v>314</v>
      </c>
      <c r="K108" s="13" t="s">
        <v>315</v>
      </c>
      <c r="L108" s="13"/>
      <c r="M108" s="11" t="s">
        <v>468</v>
      </c>
      <c r="N108" s="54" t="s">
        <v>317</v>
      </c>
      <c r="O108" s="13" t="s">
        <v>318</v>
      </c>
      <c r="P108" s="13">
        <v>15306709841</v>
      </c>
      <c r="Q108" s="54" t="s">
        <v>471</v>
      </c>
      <c r="R108" s="54" t="s">
        <v>365</v>
      </c>
      <c r="S108" s="57" t="s">
        <v>1573</v>
      </c>
      <c r="T108" s="57" t="s">
        <v>1574</v>
      </c>
      <c r="U108" s="62" t="s">
        <v>1567</v>
      </c>
      <c r="V108" s="58" t="s">
        <v>1568</v>
      </c>
      <c r="W108" s="62" t="s">
        <v>326</v>
      </c>
      <c r="X108" s="59">
        <v>1</v>
      </c>
      <c r="Y108" s="77">
        <v>0.99</v>
      </c>
      <c r="Z108" s="77">
        <v>0.99</v>
      </c>
      <c r="AA108" s="61" t="s">
        <v>1420</v>
      </c>
      <c r="AB108" s="18"/>
      <c r="AC108" s="19"/>
      <c r="AD108" s="19"/>
      <c r="AE108" s="19"/>
    </row>
    <row r="109" ht="16.8" spans="1:34">
      <c r="A109" s="13" t="s">
        <v>39</v>
      </c>
      <c r="B109" s="13" t="s">
        <v>40</v>
      </c>
      <c r="C109" s="13" t="s">
        <v>41</v>
      </c>
      <c r="D109" s="54" t="s">
        <v>312</v>
      </c>
      <c r="E109" s="55"/>
      <c r="F109" s="13" t="s">
        <v>43</v>
      </c>
      <c r="G109" s="13" t="s">
        <v>44</v>
      </c>
      <c r="H109" s="13" t="s">
        <v>45</v>
      </c>
      <c r="I109" s="11" t="s">
        <v>313</v>
      </c>
      <c r="J109" s="54" t="s">
        <v>314</v>
      </c>
      <c r="K109" s="13" t="s">
        <v>315</v>
      </c>
      <c r="L109" s="13"/>
      <c r="M109" s="11" t="s">
        <v>468</v>
      </c>
      <c r="N109" s="54" t="s">
        <v>317</v>
      </c>
      <c r="O109" s="13" t="s">
        <v>318</v>
      </c>
      <c r="P109" s="13">
        <v>15306709841</v>
      </c>
      <c r="Q109" s="54" t="s">
        <v>471</v>
      </c>
      <c r="R109" s="54" t="s">
        <v>365</v>
      </c>
      <c r="S109" s="57" t="s">
        <v>1575</v>
      </c>
      <c r="T109" s="57" t="s">
        <v>1576</v>
      </c>
      <c r="U109" s="62" t="s">
        <v>1567</v>
      </c>
      <c r="V109" s="58" t="s">
        <v>1568</v>
      </c>
      <c r="W109" s="62" t="s">
        <v>329</v>
      </c>
      <c r="X109" s="59">
        <v>1</v>
      </c>
      <c r="Y109" s="77">
        <v>1.02</v>
      </c>
      <c r="Z109" s="77">
        <v>1.02</v>
      </c>
      <c r="AA109" s="61" t="s">
        <v>1420</v>
      </c>
      <c r="AB109" s="18"/>
      <c r="AC109" s="19"/>
      <c r="AD109" s="19"/>
      <c r="AE109" s="19"/>
    </row>
    <row r="110" ht="16.8" spans="1:34">
      <c r="A110" s="13" t="s">
        <v>39</v>
      </c>
      <c r="B110" s="13" t="s">
        <v>40</v>
      </c>
      <c r="C110" s="13" t="s">
        <v>41</v>
      </c>
      <c r="D110" s="54" t="s">
        <v>312</v>
      </c>
      <c r="E110" s="55"/>
      <c r="F110" s="13" t="s">
        <v>43</v>
      </c>
      <c r="G110" s="13" t="s">
        <v>44</v>
      </c>
      <c r="H110" s="13" t="s">
        <v>45</v>
      </c>
      <c r="I110" s="11" t="s">
        <v>313</v>
      </c>
      <c r="J110" s="54" t="s">
        <v>314</v>
      </c>
      <c r="K110" s="13" t="s">
        <v>315</v>
      </c>
      <c r="L110" s="13"/>
      <c r="M110" s="11" t="s">
        <v>468</v>
      </c>
      <c r="N110" s="54" t="s">
        <v>317</v>
      </c>
      <c r="O110" s="13" t="s">
        <v>318</v>
      </c>
      <c r="P110" s="13">
        <v>15306709841</v>
      </c>
      <c r="Q110" s="54" t="s">
        <v>471</v>
      </c>
      <c r="R110" s="54" t="s">
        <v>365</v>
      </c>
      <c r="S110" s="57" t="s">
        <v>1577</v>
      </c>
      <c r="T110" s="57" t="s">
        <v>1578</v>
      </c>
      <c r="U110" s="62" t="s">
        <v>1567</v>
      </c>
      <c r="V110" s="58" t="s">
        <v>1568</v>
      </c>
      <c r="W110" s="62" t="s">
        <v>332</v>
      </c>
      <c r="X110" s="67">
        <v>0.5</v>
      </c>
      <c r="Y110" s="77">
        <v>0.49</v>
      </c>
      <c r="Z110" s="77">
        <v>0.49</v>
      </c>
      <c r="AA110" s="61" t="s">
        <v>1420</v>
      </c>
      <c r="AB110" s="18"/>
      <c r="AC110" s="19"/>
      <c r="AD110" s="19"/>
      <c r="AE110" s="19"/>
    </row>
    <row r="111" ht="16.8" spans="1:34">
      <c r="A111" s="13" t="s">
        <v>39</v>
      </c>
      <c r="B111" s="13" t="s">
        <v>40</v>
      </c>
      <c r="C111" s="13" t="s">
        <v>41</v>
      </c>
      <c r="D111" s="54" t="s">
        <v>312</v>
      </c>
      <c r="E111" s="55"/>
      <c r="F111" s="13" t="s">
        <v>43</v>
      </c>
      <c r="G111" s="13" t="s">
        <v>44</v>
      </c>
      <c r="H111" s="13" t="s">
        <v>45</v>
      </c>
      <c r="I111" s="11" t="s">
        <v>313</v>
      </c>
      <c r="J111" s="54" t="s">
        <v>314</v>
      </c>
      <c r="K111" s="13" t="s">
        <v>315</v>
      </c>
      <c r="L111" s="13"/>
      <c r="M111" s="11" t="s">
        <v>468</v>
      </c>
      <c r="N111" s="54" t="s">
        <v>317</v>
      </c>
      <c r="O111" s="13" t="s">
        <v>318</v>
      </c>
      <c r="P111" s="13">
        <v>15306709841</v>
      </c>
      <c r="Q111" s="54" t="s">
        <v>471</v>
      </c>
      <c r="R111" s="54" t="s">
        <v>365</v>
      </c>
      <c r="S111" s="57" t="s">
        <v>1579</v>
      </c>
      <c r="T111" s="57" t="s">
        <v>1580</v>
      </c>
      <c r="U111" s="62" t="s">
        <v>1567</v>
      </c>
      <c r="V111" s="58" t="s">
        <v>1568</v>
      </c>
      <c r="W111" s="62" t="s">
        <v>335</v>
      </c>
      <c r="X111" s="67">
        <v>0.5</v>
      </c>
      <c r="Y111" s="77">
        <v>0.54</v>
      </c>
      <c r="Z111" s="77">
        <v>0.54</v>
      </c>
      <c r="AA111" s="61" t="s">
        <v>1420</v>
      </c>
      <c r="AB111" s="18"/>
      <c r="AC111" s="19"/>
      <c r="AD111" s="19"/>
      <c r="AE111" s="19"/>
    </row>
    <row r="112" ht="16.8" spans="1:34">
      <c r="A112" s="13" t="s">
        <v>39</v>
      </c>
      <c r="B112" s="13" t="s">
        <v>40</v>
      </c>
      <c r="C112" s="13" t="s">
        <v>41</v>
      </c>
      <c r="D112" s="54" t="s">
        <v>312</v>
      </c>
      <c r="E112" s="55"/>
      <c r="F112" s="13" t="s">
        <v>43</v>
      </c>
      <c r="G112" s="13" t="s">
        <v>44</v>
      </c>
      <c r="H112" s="13" t="s">
        <v>45</v>
      </c>
      <c r="I112" s="11" t="s">
        <v>313</v>
      </c>
      <c r="J112" s="54" t="s">
        <v>314</v>
      </c>
      <c r="K112" s="13" t="s">
        <v>315</v>
      </c>
      <c r="L112" s="13"/>
      <c r="M112" s="11" t="s">
        <v>468</v>
      </c>
      <c r="N112" s="54" t="s">
        <v>317</v>
      </c>
      <c r="O112" s="13" t="s">
        <v>318</v>
      </c>
      <c r="P112" s="13">
        <v>15306709841</v>
      </c>
      <c r="Q112" s="54" t="s">
        <v>475</v>
      </c>
      <c r="R112" s="54" t="s">
        <v>357</v>
      </c>
      <c r="S112" s="57" t="s">
        <v>476</v>
      </c>
      <c r="T112" s="57" t="s">
        <v>1581</v>
      </c>
      <c r="U112" s="62" t="s">
        <v>1567</v>
      </c>
      <c r="V112" s="58" t="s">
        <v>1568</v>
      </c>
      <c r="W112" s="62" t="s">
        <v>352</v>
      </c>
      <c r="X112" s="67">
        <v>3.67</v>
      </c>
      <c r="Y112" s="77">
        <v>3.51</v>
      </c>
      <c r="Z112" s="77">
        <v>3.51</v>
      </c>
      <c r="AA112" s="61" t="s">
        <v>1420</v>
      </c>
      <c r="AB112" s="18"/>
      <c r="AC112" s="19"/>
      <c r="AD112" s="19"/>
      <c r="AE112" s="19"/>
    </row>
    <row r="113" ht="16" spans="1:34">
      <c r="A113" s="13" t="s">
        <v>39</v>
      </c>
      <c r="B113" s="13" t="s">
        <v>40</v>
      </c>
      <c r="C113" s="13" t="s">
        <v>41</v>
      </c>
      <c r="D113" s="54" t="s">
        <v>312</v>
      </c>
      <c r="E113" s="55"/>
      <c r="F113" s="13" t="s">
        <v>43</v>
      </c>
      <c r="G113" s="13" t="s">
        <v>44</v>
      </c>
      <c r="H113" s="13" t="s">
        <v>45</v>
      </c>
      <c r="I113" s="11" t="s">
        <v>313</v>
      </c>
      <c r="J113" s="54" t="s">
        <v>314</v>
      </c>
      <c r="K113" s="13" t="s">
        <v>315</v>
      </c>
      <c r="L113" s="13"/>
      <c r="M113" s="11" t="s">
        <v>468</v>
      </c>
      <c r="N113" s="54" t="s">
        <v>317</v>
      </c>
      <c r="O113" s="13" t="s">
        <v>318</v>
      </c>
      <c r="P113" s="13">
        <v>15306709841</v>
      </c>
      <c r="Q113" s="54" t="s">
        <v>478</v>
      </c>
      <c r="R113" s="54" t="s">
        <v>337</v>
      </c>
      <c r="S113" s="57" t="s">
        <v>480</v>
      </c>
      <c r="T113" s="57" t="s">
        <v>357</v>
      </c>
      <c r="U113" s="62" t="s">
        <v>1567</v>
      </c>
      <c r="V113" s="58" t="s">
        <v>1568</v>
      </c>
      <c r="W113" s="78" t="s">
        <v>340</v>
      </c>
      <c r="X113" s="67">
        <v>439</v>
      </c>
      <c r="Y113" s="77">
        <v>318.06</v>
      </c>
      <c r="Z113" s="77">
        <v>303.7</v>
      </c>
      <c r="AA113" s="61" t="s">
        <v>1420</v>
      </c>
      <c r="AB113" s="18"/>
      <c r="AC113" s="19"/>
      <c r="AD113" s="19"/>
      <c r="AE113" s="19"/>
    </row>
    <row r="114" ht="16" spans="1:34">
      <c r="A114" s="13" t="s">
        <v>39</v>
      </c>
      <c r="B114" s="13" t="s">
        <v>40</v>
      </c>
      <c r="C114" s="13" t="s">
        <v>41</v>
      </c>
      <c r="D114" s="54" t="s">
        <v>312</v>
      </c>
      <c r="E114" s="55"/>
      <c r="F114" s="13" t="s">
        <v>43</v>
      </c>
      <c r="G114" s="13" t="s">
        <v>44</v>
      </c>
      <c r="H114" s="13" t="s">
        <v>45</v>
      </c>
      <c r="I114" s="11" t="s">
        <v>313</v>
      </c>
      <c r="J114" s="54" t="s">
        <v>314</v>
      </c>
      <c r="K114" s="13" t="s">
        <v>315</v>
      </c>
      <c r="L114" s="13"/>
      <c r="M114" s="11" t="s">
        <v>468</v>
      </c>
      <c r="N114" s="54" t="s">
        <v>317</v>
      </c>
      <c r="O114" s="13" t="s">
        <v>318</v>
      </c>
      <c r="P114" s="13">
        <v>15306709841</v>
      </c>
      <c r="Q114" s="54" t="s">
        <v>482</v>
      </c>
      <c r="R114" s="54" t="s">
        <v>1582</v>
      </c>
      <c r="S114" s="57" t="s">
        <v>484</v>
      </c>
      <c r="T114" s="57" t="s">
        <v>1582</v>
      </c>
      <c r="U114" s="62" t="s">
        <v>1567</v>
      </c>
      <c r="V114" s="58" t="s">
        <v>1568</v>
      </c>
      <c r="W114" s="78" t="s">
        <v>340</v>
      </c>
      <c r="X114" s="67">
        <v>439</v>
      </c>
      <c r="Y114" s="63"/>
      <c r="Z114" s="63"/>
      <c r="AA114" s="61" t="s">
        <v>1420</v>
      </c>
      <c r="AB114" s="18"/>
      <c r="AC114" s="19"/>
      <c r="AD114" s="19"/>
      <c r="AE114" s="19"/>
    </row>
    <row r="115" ht="16" spans="1:34">
      <c r="A115" s="13" t="s">
        <v>39</v>
      </c>
      <c r="B115" s="13" t="s">
        <v>40</v>
      </c>
      <c r="C115" s="13" t="s">
        <v>41</v>
      </c>
      <c r="D115" s="54" t="s">
        <v>312</v>
      </c>
      <c r="E115" s="55"/>
      <c r="F115" s="13" t="s">
        <v>43</v>
      </c>
      <c r="G115" s="13" t="s">
        <v>44</v>
      </c>
      <c r="H115" s="13" t="s">
        <v>45</v>
      </c>
      <c r="I115" s="11" t="s">
        <v>313</v>
      </c>
      <c r="J115" s="54" t="s">
        <v>314</v>
      </c>
      <c r="K115" s="13" t="s">
        <v>315</v>
      </c>
      <c r="L115" s="13"/>
      <c r="M115" s="11" t="s">
        <v>468</v>
      </c>
      <c r="N115" s="54" t="s">
        <v>317</v>
      </c>
      <c r="O115" s="13" t="s">
        <v>318</v>
      </c>
      <c r="P115" s="13">
        <v>15306709841</v>
      </c>
      <c r="Q115" s="54" t="s">
        <v>486</v>
      </c>
      <c r="R115" s="54" t="s">
        <v>1583</v>
      </c>
      <c r="S115" s="57" t="s">
        <v>488</v>
      </c>
      <c r="T115" s="57" t="s">
        <v>1583</v>
      </c>
      <c r="U115" s="62" t="s">
        <v>1567</v>
      </c>
      <c r="V115" s="58" t="s">
        <v>1568</v>
      </c>
      <c r="W115" s="78" t="s">
        <v>340</v>
      </c>
      <c r="X115" s="67">
        <v>439</v>
      </c>
      <c r="Y115" s="63"/>
      <c r="Z115" s="63"/>
      <c r="AA115" s="61" t="s">
        <v>1420</v>
      </c>
      <c r="AB115" s="18"/>
      <c r="AC115" s="19"/>
      <c r="AD115" s="19"/>
      <c r="AE115" s="19"/>
    </row>
    <row r="116" s="33" customFormat="1" ht="16" spans="1:34">
      <c r="A116" s="13" t="s">
        <v>39</v>
      </c>
      <c r="B116" s="13" t="s">
        <v>40</v>
      </c>
      <c r="C116" s="13" t="s">
        <v>41</v>
      </c>
      <c r="D116" s="54" t="s">
        <v>312</v>
      </c>
      <c r="E116" s="55"/>
      <c r="F116" s="13" t="s">
        <v>43</v>
      </c>
      <c r="G116" s="13" t="s">
        <v>44</v>
      </c>
      <c r="H116" s="13" t="s">
        <v>45</v>
      </c>
      <c r="I116" s="56" t="s">
        <v>313</v>
      </c>
      <c r="J116" s="54" t="s">
        <v>314</v>
      </c>
      <c r="K116" s="13" t="s">
        <v>315</v>
      </c>
      <c r="L116" s="13"/>
      <c r="M116" s="56" t="s">
        <v>468</v>
      </c>
      <c r="N116" s="54" t="s">
        <v>317</v>
      </c>
      <c r="O116" s="13" t="s">
        <v>318</v>
      </c>
      <c r="P116" s="13">
        <v>15306709841</v>
      </c>
      <c r="Q116" s="54" t="s">
        <v>490</v>
      </c>
      <c r="R116" s="54" t="s">
        <v>361</v>
      </c>
      <c r="S116" s="57" t="s">
        <v>492</v>
      </c>
      <c r="T116" s="57" t="s">
        <v>1584</v>
      </c>
      <c r="U116" s="58" t="s">
        <v>1567</v>
      </c>
      <c r="V116" s="13" t="s">
        <v>1585</v>
      </c>
      <c r="W116" s="58" t="s">
        <v>355</v>
      </c>
      <c r="X116" s="79">
        <v>2392.78</v>
      </c>
      <c r="Y116" s="60">
        <v>14.28</v>
      </c>
      <c r="Z116" s="60">
        <v>14.28</v>
      </c>
      <c r="AA116" s="61" t="s">
        <v>1420</v>
      </c>
      <c r="AB116" s="18"/>
      <c r="AC116" s="19"/>
      <c r="AD116" s="19"/>
      <c r="AE116" s="19"/>
      <c r="AF116" s="38"/>
      <c r="AG116" s="38"/>
      <c r="AH116" s="38"/>
    </row>
    <row r="117" s="33" customFormat="1" ht="16" spans="1:34">
      <c r="A117" s="13" t="s">
        <v>39</v>
      </c>
      <c r="B117" s="13" t="s">
        <v>40</v>
      </c>
      <c r="C117" s="13" t="s">
        <v>41</v>
      </c>
      <c r="D117" s="54" t="s">
        <v>312</v>
      </c>
      <c r="E117" s="55"/>
      <c r="F117" s="13" t="s">
        <v>43</v>
      </c>
      <c r="G117" s="13" t="s">
        <v>44</v>
      </c>
      <c r="H117" s="13" t="s">
        <v>45</v>
      </c>
      <c r="I117" s="56" t="s">
        <v>313</v>
      </c>
      <c r="J117" s="54" t="s">
        <v>314</v>
      </c>
      <c r="K117" s="13" t="s">
        <v>315</v>
      </c>
      <c r="L117" s="13"/>
      <c r="M117" s="56" t="s">
        <v>468</v>
      </c>
      <c r="N117" s="54" t="s">
        <v>317</v>
      </c>
      <c r="O117" s="13" t="s">
        <v>318</v>
      </c>
      <c r="P117" s="13">
        <v>15306709841</v>
      </c>
      <c r="Q117" s="54" t="s">
        <v>490</v>
      </c>
      <c r="R117" s="54" t="s">
        <v>361</v>
      </c>
      <c r="S117" s="57" t="s">
        <v>1586</v>
      </c>
      <c r="T117" s="57" t="s">
        <v>1587</v>
      </c>
      <c r="U117" s="58" t="s">
        <v>1567</v>
      </c>
      <c r="V117" s="13" t="s">
        <v>1585</v>
      </c>
      <c r="W117" s="58" t="s">
        <v>355</v>
      </c>
      <c r="X117" s="79">
        <v>2392.78</v>
      </c>
      <c r="Y117" s="60">
        <v>9.18</v>
      </c>
      <c r="Z117" s="60">
        <v>9.18</v>
      </c>
      <c r="AA117" s="61" t="s">
        <v>1420</v>
      </c>
      <c r="AB117" s="18"/>
      <c r="AC117" s="19"/>
      <c r="AD117" s="19"/>
      <c r="AE117" s="19"/>
      <c r="AF117" s="38"/>
      <c r="AG117" s="38"/>
      <c r="AH117" s="38"/>
    </row>
    <row r="118" s="33" customFormat="1" ht="16" spans="1:34">
      <c r="A118" s="13" t="s">
        <v>39</v>
      </c>
      <c r="B118" s="13" t="s">
        <v>40</v>
      </c>
      <c r="C118" s="13" t="s">
        <v>41</v>
      </c>
      <c r="D118" s="54" t="s">
        <v>312</v>
      </c>
      <c r="E118" s="55"/>
      <c r="F118" s="13" t="s">
        <v>43</v>
      </c>
      <c r="G118" s="13" t="s">
        <v>44</v>
      </c>
      <c r="H118" s="13" t="s">
        <v>45</v>
      </c>
      <c r="I118" s="56" t="s">
        <v>313</v>
      </c>
      <c r="J118" s="54" t="s">
        <v>314</v>
      </c>
      <c r="K118" s="13" t="s">
        <v>315</v>
      </c>
      <c r="L118" s="13"/>
      <c r="M118" s="56" t="s">
        <v>468</v>
      </c>
      <c r="N118" s="54" t="s">
        <v>317</v>
      </c>
      <c r="O118" s="13" t="s">
        <v>318</v>
      </c>
      <c r="P118" s="13">
        <v>15306709841</v>
      </c>
      <c r="Q118" s="54" t="s">
        <v>494</v>
      </c>
      <c r="R118" s="54" t="s">
        <v>1588</v>
      </c>
      <c r="S118" s="57" t="s">
        <v>496</v>
      </c>
      <c r="T118" s="57" t="s">
        <v>1589</v>
      </c>
      <c r="U118" s="58" t="s">
        <v>1567</v>
      </c>
      <c r="V118" s="13" t="s">
        <v>1585</v>
      </c>
      <c r="W118" s="58" t="s">
        <v>355</v>
      </c>
      <c r="X118" s="79">
        <v>2392.78</v>
      </c>
      <c r="Y118" s="60">
        <v>81.12</v>
      </c>
      <c r="Z118" s="60">
        <v>80.52</v>
      </c>
      <c r="AA118" s="61" t="s">
        <v>1420</v>
      </c>
      <c r="AB118" s="18"/>
      <c r="AC118" s="19"/>
      <c r="AD118" s="19"/>
      <c r="AE118" s="19"/>
      <c r="AF118" s="38"/>
      <c r="AG118" s="38"/>
      <c r="AH118" s="38"/>
    </row>
    <row r="119" s="33" customFormat="1" ht="16" spans="1:34">
      <c r="A119" s="13" t="s">
        <v>39</v>
      </c>
      <c r="B119" s="13" t="s">
        <v>40</v>
      </c>
      <c r="C119" s="13" t="s">
        <v>41</v>
      </c>
      <c r="D119" s="54" t="s">
        <v>312</v>
      </c>
      <c r="E119" s="55"/>
      <c r="F119" s="13" t="s">
        <v>43</v>
      </c>
      <c r="G119" s="13" t="s">
        <v>44</v>
      </c>
      <c r="H119" s="13" t="s">
        <v>45</v>
      </c>
      <c r="I119" s="56" t="s">
        <v>313</v>
      </c>
      <c r="J119" s="54" t="s">
        <v>314</v>
      </c>
      <c r="K119" s="13" t="s">
        <v>315</v>
      </c>
      <c r="L119" s="13"/>
      <c r="M119" s="56" t="s">
        <v>468</v>
      </c>
      <c r="N119" s="54" t="s">
        <v>317</v>
      </c>
      <c r="O119" s="13" t="s">
        <v>318</v>
      </c>
      <c r="P119" s="13">
        <v>15306709841</v>
      </c>
      <c r="Q119" s="54" t="s">
        <v>494</v>
      </c>
      <c r="R119" s="54" t="s">
        <v>1588</v>
      </c>
      <c r="S119" s="57" t="s">
        <v>1590</v>
      </c>
      <c r="T119" s="57" t="s">
        <v>1591</v>
      </c>
      <c r="U119" s="58" t="s">
        <v>1567</v>
      </c>
      <c r="V119" s="13" t="s">
        <v>1585</v>
      </c>
      <c r="W119" s="58" t="s">
        <v>355</v>
      </c>
      <c r="X119" s="79">
        <v>2392.78</v>
      </c>
      <c r="Y119" s="60">
        <v>3.22</v>
      </c>
      <c r="Z119" s="60">
        <v>3.22</v>
      </c>
      <c r="AA119" s="61" t="s">
        <v>1420</v>
      </c>
      <c r="AB119" s="18"/>
      <c r="AC119" s="19"/>
      <c r="AD119" s="19"/>
      <c r="AE119" s="19"/>
      <c r="AF119" s="38"/>
      <c r="AG119" s="38"/>
      <c r="AH119" s="38"/>
    </row>
    <row r="120" s="33" customFormat="1" ht="16" spans="1:34">
      <c r="A120" s="13" t="s">
        <v>39</v>
      </c>
      <c r="B120" s="13" t="s">
        <v>40</v>
      </c>
      <c r="C120" s="13" t="s">
        <v>41</v>
      </c>
      <c r="D120" s="54" t="s">
        <v>312</v>
      </c>
      <c r="E120" s="55"/>
      <c r="F120" s="13" t="s">
        <v>43</v>
      </c>
      <c r="G120" s="13" t="s">
        <v>44</v>
      </c>
      <c r="H120" s="13" t="s">
        <v>45</v>
      </c>
      <c r="I120" s="56" t="s">
        <v>313</v>
      </c>
      <c r="J120" s="54" t="s">
        <v>314</v>
      </c>
      <c r="K120" s="13" t="s">
        <v>315</v>
      </c>
      <c r="L120" s="13"/>
      <c r="M120" s="56" t="s">
        <v>468</v>
      </c>
      <c r="N120" s="54" t="s">
        <v>317</v>
      </c>
      <c r="O120" s="13" t="s">
        <v>318</v>
      </c>
      <c r="P120" s="13">
        <v>15306709841</v>
      </c>
      <c r="Q120" s="54" t="s">
        <v>494</v>
      </c>
      <c r="R120" s="54" t="s">
        <v>1588</v>
      </c>
      <c r="S120" s="57" t="s">
        <v>1592</v>
      </c>
      <c r="T120" s="57" t="s">
        <v>1593</v>
      </c>
      <c r="U120" s="58" t="s">
        <v>1567</v>
      </c>
      <c r="V120" s="13" t="s">
        <v>1585</v>
      </c>
      <c r="W120" s="58" t="s">
        <v>355</v>
      </c>
      <c r="X120" s="79">
        <v>2392.78</v>
      </c>
      <c r="Y120" s="60">
        <v>2.86</v>
      </c>
      <c r="Z120" s="60">
        <v>2.43</v>
      </c>
      <c r="AA120" s="61" t="s">
        <v>1420</v>
      </c>
      <c r="AB120" s="18"/>
      <c r="AC120" s="19"/>
      <c r="AD120" s="19"/>
      <c r="AE120" s="19"/>
      <c r="AF120" s="38"/>
      <c r="AG120" s="38"/>
      <c r="AH120" s="38"/>
    </row>
    <row r="121" s="33" customFormat="1" ht="16" spans="1:34">
      <c r="A121" s="13" t="s">
        <v>39</v>
      </c>
      <c r="B121" s="13" t="s">
        <v>40</v>
      </c>
      <c r="C121" s="13" t="s">
        <v>41</v>
      </c>
      <c r="D121" s="54" t="s">
        <v>312</v>
      </c>
      <c r="E121" s="55"/>
      <c r="F121" s="13" t="s">
        <v>43</v>
      </c>
      <c r="G121" s="13" t="s">
        <v>44</v>
      </c>
      <c r="H121" s="13" t="s">
        <v>45</v>
      </c>
      <c r="I121" s="56" t="s">
        <v>313</v>
      </c>
      <c r="J121" s="54" t="s">
        <v>314</v>
      </c>
      <c r="K121" s="13" t="s">
        <v>315</v>
      </c>
      <c r="L121" s="13"/>
      <c r="M121" s="56" t="s">
        <v>468</v>
      </c>
      <c r="N121" s="54" t="s">
        <v>317</v>
      </c>
      <c r="O121" s="13" t="s">
        <v>318</v>
      </c>
      <c r="P121" s="13">
        <v>15306709841</v>
      </c>
      <c r="Q121" s="54" t="s">
        <v>494</v>
      </c>
      <c r="R121" s="54" t="s">
        <v>1588</v>
      </c>
      <c r="S121" s="57" t="s">
        <v>1594</v>
      </c>
      <c r="T121" s="57" t="s">
        <v>1595</v>
      </c>
      <c r="U121" s="58" t="s">
        <v>1567</v>
      </c>
      <c r="V121" s="13" t="s">
        <v>1585</v>
      </c>
      <c r="W121" s="58" t="s">
        <v>355</v>
      </c>
      <c r="X121" s="79">
        <v>2392.78</v>
      </c>
      <c r="Y121" s="60">
        <v>84.07</v>
      </c>
      <c r="Z121" s="60">
        <v>82</v>
      </c>
      <c r="AA121" s="61" t="s">
        <v>1420</v>
      </c>
      <c r="AB121" s="18"/>
      <c r="AC121" s="19"/>
      <c r="AD121" s="19"/>
      <c r="AE121" s="19"/>
      <c r="AF121" s="38"/>
      <c r="AG121" s="38"/>
      <c r="AH121" s="38"/>
    </row>
    <row r="122" spans="1:34">
      <c r="A122" s="13" t="s">
        <v>39</v>
      </c>
      <c r="B122" s="13" t="s">
        <v>40</v>
      </c>
      <c r="C122" s="13" t="s">
        <v>41</v>
      </c>
      <c r="D122" s="54" t="s">
        <v>312</v>
      </c>
      <c r="E122" s="55"/>
      <c r="F122" s="13" t="s">
        <v>43</v>
      </c>
      <c r="G122" s="13" t="s">
        <v>44</v>
      </c>
      <c r="H122" s="13" t="s">
        <v>45</v>
      </c>
      <c r="I122" s="56" t="s">
        <v>313</v>
      </c>
      <c r="J122" s="54" t="s">
        <v>314</v>
      </c>
      <c r="K122" s="13" t="s">
        <v>315</v>
      </c>
      <c r="L122" s="13"/>
      <c r="M122" s="56" t="s">
        <v>468</v>
      </c>
      <c r="N122" s="54" t="s">
        <v>317</v>
      </c>
      <c r="O122" s="13" t="s">
        <v>318</v>
      </c>
      <c r="P122" s="13">
        <v>15306709841</v>
      </c>
      <c r="Q122" s="54"/>
      <c r="R122" s="76"/>
      <c r="S122" s="69"/>
      <c r="T122" s="69"/>
      <c r="U122" s="64"/>
      <c r="V122" s="13"/>
      <c r="W122" s="64" t="s">
        <v>323</v>
      </c>
      <c r="X122" s="67">
        <v>10</v>
      </c>
      <c r="Y122" s="60">
        <v>11.79</v>
      </c>
      <c r="Z122" s="60">
        <v>5.99</v>
      </c>
      <c r="AA122" s="61" t="s">
        <v>1420</v>
      </c>
      <c r="AB122" s="18"/>
      <c r="AC122" s="19"/>
      <c r="AD122" s="19"/>
      <c r="AE122" s="19"/>
    </row>
    <row r="123" spans="1:34">
      <c r="A123" s="13" t="s">
        <v>39</v>
      </c>
      <c r="B123" s="13" t="s">
        <v>40</v>
      </c>
      <c r="C123" s="13" t="s">
        <v>41</v>
      </c>
      <c r="D123" s="54" t="s">
        <v>312</v>
      </c>
      <c r="E123" s="55"/>
      <c r="F123" s="13" t="s">
        <v>43</v>
      </c>
      <c r="G123" s="13" t="s">
        <v>44</v>
      </c>
      <c r="H123" s="13" t="s">
        <v>45</v>
      </c>
      <c r="I123" s="56" t="s">
        <v>313</v>
      </c>
      <c r="J123" s="54" t="s">
        <v>314</v>
      </c>
      <c r="K123" s="13" t="s">
        <v>315</v>
      </c>
      <c r="L123" s="13"/>
      <c r="M123" s="56"/>
      <c r="N123" s="54" t="s">
        <v>1596</v>
      </c>
      <c r="O123" s="13" t="s">
        <v>318</v>
      </c>
      <c r="P123" s="13">
        <v>15306709841</v>
      </c>
      <c r="Q123" s="54"/>
      <c r="R123" s="54" t="s">
        <v>465</v>
      </c>
      <c r="S123" s="54" t="s">
        <v>465</v>
      </c>
      <c r="T123" s="57"/>
      <c r="U123" s="64"/>
      <c r="V123" s="13"/>
      <c r="W123" s="64" t="s">
        <v>1597</v>
      </c>
      <c r="X123" s="67"/>
      <c r="Y123" s="60">
        <v>111.88</v>
      </c>
      <c r="Z123" s="60">
        <v>86.49</v>
      </c>
      <c r="AA123" s="61" t="s">
        <v>1420</v>
      </c>
      <c r="AB123" s="18"/>
      <c r="AC123" s="19"/>
      <c r="AD123" s="19"/>
      <c r="AE123" s="19"/>
    </row>
    <row r="124" s="33" customFormat="1" spans="1:34">
      <c r="A124" s="13" t="s">
        <v>39</v>
      </c>
      <c r="B124" s="13" t="s">
        <v>40</v>
      </c>
      <c r="C124" s="13" t="s">
        <v>41</v>
      </c>
      <c r="D124" s="54" t="s">
        <v>368</v>
      </c>
      <c r="E124" s="55"/>
      <c r="F124" s="13" t="s">
        <v>43</v>
      </c>
      <c r="G124" s="13" t="s">
        <v>44</v>
      </c>
      <c r="H124" s="13" t="s">
        <v>45</v>
      </c>
      <c r="I124" s="56" t="s">
        <v>625</v>
      </c>
      <c r="J124" s="54" t="s">
        <v>626</v>
      </c>
      <c r="K124" s="13" t="s">
        <v>628</v>
      </c>
      <c r="L124" s="13"/>
      <c r="M124" s="56" t="s">
        <v>629</v>
      </c>
      <c r="N124" s="54" t="s">
        <v>732</v>
      </c>
      <c r="O124" s="13" t="s">
        <v>733</v>
      </c>
      <c r="P124" s="13">
        <v>17357096036</v>
      </c>
      <c r="Q124" s="54" t="s">
        <v>632</v>
      </c>
      <c r="R124" s="54" t="s">
        <v>761</v>
      </c>
      <c r="S124" s="57" t="s">
        <v>634</v>
      </c>
      <c r="T124" s="57" t="s">
        <v>1598</v>
      </c>
      <c r="U124" s="13" t="s">
        <v>1599</v>
      </c>
      <c r="V124" s="13" t="s">
        <v>1600</v>
      </c>
      <c r="W124" s="13" t="s">
        <v>764</v>
      </c>
      <c r="X124" s="67"/>
      <c r="Y124" s="65"/>
      <c r="Z124" s="65"/>
      <c r="AA124" s="61" t="s">
        <v>1474</v>
      </c>
      <c r="AB124" s="18"/>
      <c r="AC124" s="19"/>
      <c r="AD124" s="19"/>
      <c r="AE124" s="19"/>
      <c r="AF124" s="38"/>
      <c r="AG124" s="38"/>
      <c r="AH124" s="38"/>
    </row>
    <row r="125" spans="1:34">
      <c r="A125" s="13" t="s">
        <v>39</v>
      </c>
      <c r="B125" s="13" t="s">
        <v>40</v>
      </c>
      <c r="C125" s="13" t="s">
        <v>41</v>
      </c>
      <c r="D125" s="54" t="s">
        <v>368</v>
      </c>
      <c r="E125" s="55"/>
      <c r="F125" s="13" t="s">
        <v>43</v>
      </c>
      <c r="G125" s="13" t="s">
        <v>44</v>
      </c>
      <c r="H125" s="13" t="s">
        <v>45</v>
      </c>
      <c r="I125" s="11" t="s">
        <v>625</v>
      </c>
      <c r="J125" s="54" t="s">
        <v>626</v>
      </c>
      <c r="K125" s="13" t="s">
        <v>628</v>
      </c>
      <c r="L125" s="13"/>
      <c r="M125" s="11" t="s">
        <v>629</v>
      </c>
      <c r="N125" s="54" t="s">
        <v>732</v>
      </c>
      <c r="O125" s="13" t="s">
        <v>733</v>
      </c>
      <c r="P125" s="13">
        <v>17357096036</v>
      </c>
      <c r="Q125" s="54" t="s">
        <v>636</v>
      </c>
      <c r="R125" s="54" t="s">
        <v>717</v>
      </c>
      <c r="S125" s="57" t="s">
        <v>638</v>
      </c>
      <c r="T125" s="57" t="s">
        <v>717</v>
      </c>
      <c r="U125" s="64" t="s">
        <v>1599</v>
      </c>
      <c r="V125" s="13" t="s">
        <v>1600</v>
      </c>
      <c r="W125" s="64" t="s">
        <v>720</v>
      </c>
      <c r="X125" s="59">
        <v>50.1</v>
      </c>
      <c r="Y125" s="60">
        <v>43.8</v>
      </c>
      <c r="Z125" s="60">
        <v>43.8</v>
      </c>
      <c r="AA125" s="61" t="s">
        <v>1474</v>
      </c>
      <c r="AB125" s="18"/>
      <c r="AC125" s="19"/>
      <c r="AD125" s="19"/>
      <c r="AE125" s="19"/>
    </row>
    <row r="126" spans="1:34">
      <c r="A126" s="13" t="s">
        <v>39</v>
      </c>
      <c r="B126" s="13" t="s">
        <v>40</v>
      </c>
      <c r="C126" s="13" t="s">
        <v>41</v>
      </c>
      <c r="D126" s="54" t="s">
        <v>368</v>
      </c>
      <c r="E126" s="55"/>
      <c r="F126" s="13" t="s">
        <v>43</v>
      </c>
      <c r="G126" s="13" t="s">
        <v>44</v>
      </c>
      <c r="H126" s="13" t="s">
        <v>45</v>
      </c>
      <c r="I126" s="11" t="s">
        <v>625</v>
      </c>
      <c r="J126" s="54" t="s">
        <v>626</v>
      </c>
      <c r="K126" s="13" t="s">
        <v>628</v>
      </c>
      <c r="L126" s="13"/>
      <c r="M126" s="11" t="s">
        <v>629</v>
      </c>
      <c r="N126" s="54" t="s">
        <v>732</v>
      </c>
      <c r="O126" s="13" t="s">
        <v>733</v>
      </c>
      <c r="P126" s="13">
        <v>17357096036</v>
      </c>
      <c r="Q126" s="54" t="s">
        <v>1601</v>
      </c>
      <c r="R126" s="54" t="s">
        <v>1602</v>
      </c>
      <c r="S126" s="57" t="s">
        <v>1603</v>
      </c>
      <c r="T126" s="57" t="s">
        <v>1604</v>
      </c>
      <c r="U126" s="64" t="s">
        <v>1599</v>
      </c>
      <c r="V126" s="13" t="s">
        <v>1600</v>
      </c>
      <c r="W126" s="64" t="s">
        <v>764</v>
      </c>
      <c r="X126" s="67">
        <v>158.2</v>
      </c>
      <c r="Y126" s="60">
        <v>117.4</v>
      </c>
      <c r="Z126" s="60">
        <v>113.43</v>
      </c>
      <c r="AA126" s="61" t="s">
        <v>1420</v>
      </c>
      <c r="AB126" s="18"/>
      <c r="AC126" s="19"/>
      <c r="AD126" s="19"/>
      <c r="AE126" s="19"/>
    </row>
    <row r="127" spans="1:34">
      <c r="A127" s="13" t="s">
        <v>39</v>
      </c>
      <c r="B127" s="13" t="s">
        <v>40</v>
      </c>
      <c r="C127" s="13" t="s">
        <v>41</v>
      </c>
      <c r="D127" s="54" t="s">
        <v>368</v>
      </c>
      <c r="E127" s="55"/>
      <c r="F127" s="13" t="s">
        <v>43</v>
      </c>
      <c r="G127" s="13" t="s">
        <v>44</v>
      </c>
      <c r="H127" s="13" t="s">
        <v>45</v>
      </c>
      <c r="I127" s="11" t="s">
        <v>625</v>
      </c>
      <c r="J127" s="54" t="s">
        <v>626</v>
      </c>
      <c r="K127" s="13" t="s">
        <v>628</v>
      </c>
      <c r="L127" s="13"/>
      <c r="M127" s="11" t="s">
        <v>629</v>
      </c>
      <c r="N127" s="54" t="s">
        <v>732</v>
      </c>
      <c r="O127" s="13" t="s">
        <v>733</v>
      </c>
      <c r="P127" s="13">
        <v>17357096036</v>
      </c>
      <c r="Q127" s="54" t="s">
        <v>1605</v>
      </c>
      <c r="R127" s="54" t="s">
        <v>745</v>
      </c>
      <c r="S127" s="57" t="s">
        <v>1606</v>
      </c>
      <c r="T127" s="57" t="s">
        <v>1607</v>
      </c>
      <c r="U127" s="64" t="s">
        <v>1599</v>
      </c>
      <c r="V127" s="13" t="s">
        <v>1600</v>
      </c>
      <c r="W127" s="64" t="s">
        <v>748</v>
      </c>
      <c r="X127" s="59">
        <v>3.022</v>
      </c>
      <c r="Y127" s="60">
        <v>2.7</v>
      </c>
      <c r="Z127" s="60">
        <v>0</v>
      </c>
      <c r="AA127" s="61" t="s">
        <v>1420</v>
      </c>
      <c r="AB127" s="18"/>
      <c r="AC127" s="19"/>
      <c r="AD127" s="19"/>
      <c r="AE127" s="19"/>
    </row>
    <row r="128" spans="1:34">
      <c r="A128" s="13" t="s">
        <v>39</v>
      </c>
      <c r="B128" s="13" t="s">
        <v>40</v>
      </c>
      <c r="C128" s="13" t="s">
        <v>41</v>
      </c>
      <c r="D128" s="54" t="s">
        <v>368</v>
      </c>
      <c r="E128" s="55"/>
      <c r="F128" s="13" t="s">
        <v>43</v>
      </c>
      <c r="G128" s="13" t="s">
        <v>44</v>
      </c>
      <c r="H128" s="13" t="s">
        <v>45</v>
      </c>
      <c r="I128" s="11" t="s">
        <v>625</v>
      </c>
      <c r="J128" s="54" t="s">
        <v>626</v>
      </c>
      <c r="K128" s="13" t="s">
        <v>628</v>
      </c>
      <c r="L128" s="13"/>
      <c r="M128" s="11" t="s">
        <v>629</v>
      </c>
      <c r="N128" s="54" t="s">
        <v>732</v>
      </c>
      <c r="O128" s="13" t="s">
        <v>733</v>
      </c>
      <c r="P128" s="13">
        <v>17357096036</v>
      </c>
      <c r="Q128" s="54" t="s">
        <v>1605</v>
      </c>
      <c r="R128" s="54" t="s">
        <v>745</v>
      </c>
      <c r="S128" s="57" t="s">
        <v>1608</v>
      </c>
      <c r="T128" s="57" t="s">
        <v>1609</v>
      </c>
      <c r="U128" s="64" t="s">
        <v>1599</v>
      </c>
      <c r="V128" s="13" t="s">
        <v>1600</v>
      </c>
      <c r="W128" s="64" t="s">
        <v>751</v>
      </c>
      <c r="X128" s="59">
        <v>2.699</v>
      </c>
      <c r="Y128" s="60">
        <v>2.75</v>
      </c>
      <c r="Z128" s="60">
        <v>2.75</v>
      </c>
      <c r="AA128" s="61" t="s">
        <v>1420</v>
      </c>
      <c r="AB128" s="18"/>
      <c r="AC128" s="19"/>
      <c r="AD128" s="19"/>
      <c r="AE128" s="19"/>
    </row>
    <row r="129" spans="1:34">
      <c r="A129" s="13" t="s">
        <v>39</v>
      </c>
      <c r="B129" s="13" t="s">
        <v>40</v>
      </c>
      <c r="C129" s="13" t="s">
        <v>41</v>
      </c>
      <c r="D129" s="54" t="s">
        <v>368</v>
      </c>
      <c r="E129" s="55"/>
      <c r="F129" s="13" t="s">
        <v>43</v>
      </c>
      <c r="G129" s="13" t="s">
        <v>44</v>
      </c>
      <c r="H129" s="13" t="s">
        <v>45</v>
      </c>
      <c r="I129" s="11" t="s">
        <v>625</v>
      </c>
      <c r="J129" s="54" t="s">
        <v>626</v>
      </c>
      <c r="K129" s="13" t="s">
        <v>628</v>
      </c>
      <c r="L129" s="13"/>
      <c r="M129" s="11" t="s">
        <v>629</v>
      </c>
      <c r="N129" s="54" t="s">
        <v>732</v>
      </c>
      <c r="O129" s="13" t="s">
        <v>733</v>
      </c>
      <c r="P129" s="13">
        <v>17357096036</v>
      </c>
      <c r="Q129" s="54" t="s">
        <v>1605</v>
      </c>
      <c r="R129" s="54" t="s">
        <v>745</v>
      </c>
      <c r="S129" s="57" t="s">
        <v>1610</v>
      </c>
      <c r="T129" s="57" t="s">
        <v>1611</v>
      </c>
      <c r="U129" s="64" t="s">
        <v>1599</v>
      </c>
      <c r="V129" s="13" t="s">
        <v>1600</v>
      </c>
      <c r="W129" s="64" t="s">
        <v>754</v>
      </c>
      <c r="X129" s="59">
        <v>2.5</v>
      </c>
      <c r="Y129" s="60">
        <v>2.08</v>
      </c>
      <c r="Z129" s="60">
        <v>2.08</v>
      </c>
      <c r="AA129" s="61" t="s">
        <v>1420</v>
      </c>
      <c r="AB129" s="18"/>
      <c r="AC129" s="19"/>
      <c r="AD129" s="19"/>
      <c r="AE129" s="19"/>
    </row>
    <row r="130" spans="1:34">
      <c r="A130" s="13" t="s">
        <v>39</v>
      </c>
      <c r="B130" s="13" t="s">
        <v>40</v>
      </c>
      <c r="C130" s="13" t="s">
        <v>41</v>
      </c>
      <c r="D130" s="54" t="s">
        <v>368</v>
      </c>
      <c r="E130" s="55"/>
      <c r="F130" s="13" t="s">
        <v>43</v>
      </c>
      <c r="G130" s="13" t="s">
        <v>44</v>
      </c>
      <c r="H130" s="13" t="s">
        <v>45</v>
      </c>
      <c r="I130" s="11" t="s">
        <v>625</v>
      </c>
      <c r="J130" s="54" t="s">
        <v>626</v>
      </c>
      <c r="K130" s="13" t="s">
        <v>628</v>
      </c>
      <c r="L130" s="13"/>
      <c r="M130" s="11" t="s">
        <v>629</v>
      </c>
      <c r="N130" s="54" t="s">
        <v>732</v>
      </c>
      <c r="O130" s="13" t="s">
        <v>733</v>
      </c>
      <c r="P130" s="13">
        <v>17357096036</v>
      </c>
      <c r="Q130" s="54" t="s">
        <v>1605</v>
      </c>
      <c r="R130" s="54" t="s">
        <v>745</v>
      </c>
      <c r="S130" s="57" t="s">
        <v>1612</v>
      </c>
      <c r="T130" s="57" t="s">
        <v>1613</v>
      </c>
      <c r="U130" s="64" t="s">
        <v>1599</v>
      </c>
      <c r="V130" s="13" t="s">
        <v>1600</v>
      </c>
      <c r="W130" s="64" t="s">
        <v>1614</v>
      </c>
      <c r="X130" s="59">
        <f>1.127+2.09</f>
        <v>3.217</v>
      </c>
      <c r="Y130" s="60">
        <v>3.92</v>
      </c>
      <c r="Z130" s="60">
        <v>3.92</v>
      </c>
      <c r="AA130" s="61" t="s">
        <v>1420</v>
      </c>
      <c r="AB130" s="18"/>
      <c r="AC130" s="19"/>
      <c r="AD130" s="19"/>
      <c r="AE130" s="19"/>
    </row>
    <row r="131" s="33" customFormat="1" spans="1:34">
      <c r="A131" s="13" t="s">
        <v>39</v>
      </c>
      <c r="B131" s="13" t="s">
        <v>40</v>
      </c>
      <c r="C131" s="13" t="s">
        <v>41</v>
      </c>
      <c r="D131" s="54" t="s">
        <v>368</v>
      </c>
      <c r="E131" s="55"/>
      <c r="F131" s="13" t="s">
        <v>43</v>
      </c>
      <c r="G131" s="13" t="s">
        <v>44</v>
      </c>
      <c r="H131" s="13" t="s">
        <v>45</v>
      </c>
      <c r="I131" s="56" t="s">
        <v>625</v>
      </c>
      <c r="J131" s="54" t="s">
        <v>626</v>
      </c>
      <c r="K131" s="13" t="s">
        <v>628</v>
      </c>
      <c r="L131" s="13"/>
      <c r="M131" s="56" t="s">
        <v>629</v>
      </c>
      <c r="N131" s="54" t="s">
        <v>732</v>
      </c>
      <c r="O131" s="13" t="s">
        <v>733</v>
      </c>
      <c r="P131" s="13">
        <v>17357096036</v>
      </c>
      <c r="Q131" s="54" t="s">
        <v>1615</v>
      </c>
      <c r="R131" s="54" t="s">
        <v>735</v>
      </c>
      <c r="S131" s="57" t="s">
        <v>1616</v>
      </c>
      <c r="T131" s="57" t="s">
        <v>1617</v>
      </c>
      <c r="U131" s="13" t="s">
        <v>1599</v>
      </c>
      <c r="V131" s="13" t="s">
        <v>1600</v>
      </c>
      <c r="W131" s="13" t="s">
        <v>738</v>
      </c>
      <c r="X131" s="59">
        <v>248.8</v>
      </c>
      <c r="Y131" s="60">
        <v>228.05</v>
      </c>
      <c r="Z131" s="60">
        <v>206.44</v>
      </c>
      <c r="AA131" s="61" t="s">
        <v>1420</v>
      </c>
      <c r="AB131" s="18"/>
      <c r="AC131" s="19"/>
      <c r="AD131" s="19"/>
      <c r="AE131" s="19"/>
      <c r="AF131" s="38"/>
      <c r="AG131" s="38"/>
      <c r="AH131" s="38"/>
    </row>
    <row r="132" ht="29.25" customHeight="1" spans="1:34">
      <c r="A132" s="13" t="s">
        <v>39</v>
      </c>
      <c r="B132" s="13" t="s">
        <v>40</v>
      </c>
      <c r="C132" s="13" t="s">
        <v>41</v>
      </c>
      <c r="D132" s="54" t="s">
        <v>368</v>
      </c>
      <c r="E132" s="55"/>
      <c r="F132" s="13" t="s">
        <v>43</v>
      </c>
      <c r="G132" s="13" t="s">
        <v>44</v>
      </c>
      <c r="H132" s="13" t="s">
        <v>45</v>
      </c>
      <c r="I132" s="11" t="s">
        <v>625</v>
      </c>
      <c r="J132" s="54" t="s">
        <v>626</v>
      </c>
      <c r="K132" s="13" t="s">
        <v>628</v>
      </c>
      <c r="L132" s="13"/>
      <c r="M132" s="11" t="s">
        <v>629</v>
      </c>
      <c r="N132" s="54" t="s">
        <v>732</v>
      </c>
      <c r="O132" s="13" t="s">
        <v>733</v>
      </c>
      <c r="P132" s="13">
        <v>17357096036</v>
      </c>
      <c r="Q132" s="54" t="s">
        <v>1615</v>
      </c>
      <c r="R132" s="54" t="s">
        <v>735</v>
      </c>
      <c r="S132" s="57" t="s">
        <v>1618</v>
      </c>
      <c r="T132" s="57" t="s">
        <v>740</v>
      </c>
      <c r="U132" s="64" t="s">
        <v>1599</v>
      </c>
      <c r="V132" s="13" t="s">
        <v>1600</v>
      </c>
      <c r="W132" s="80" t="s">
        <v>1619</v>
      </c>
      <c r="X132" s="59">
        <f>1.1+0.25+1.1+65.83</f>
        <v>68.28</v>
      </c>
      <c r="Y132" s="60">
        <v>4.3</v>
      </c>
      <c r="Z132" s="60">
        <v>4.11</v>
      </c>
      <c r="AA132" s="61" t="s">
        <v>1474</v>
      </c>
      <c r="AB132" s="18"/>
      <c r="AC132" s="19"/>
      <c r="AD132" s="19"/>
      <c r="AE132" s="19"/>
    </row>
    <row r="133" s="33" customFormat="1" spans="1:34">
      <c r="A133" s="13" t="s">
        <v>39</v>
      </c>
      <c r="B133" s="13" t="s">
        <v>40</v>
      </c>
      <c r="C133" s="13" t="s">
        <v>41</v>
      </c>
      <c r="D133" s="54" t="s">
        <v>368</v>
      </c>
      <c r="E133" s="55"/>
      <c r="F133" s="13" t="s">
        <v>43</v>
      </c>
      <c r="G133" s="13" t="s">
        <v>44</v>
      </c>
      <c r="H133" s="13" t="s">
        <v>45</v>
      </c>
      <c r="I133" s="56" t="s">
        <v>625</v>
      </c>
      <c r="J133" s="54" t="s">
        <v>626</v>
      </c>
      <c r="K133" s="13" t="s">
        <v>628</v>
      </c>
      <c r="L133" s="13"/>
      <c r="M133" s="56" t="s">
        <v>629</v>
      </c>
      <c r="N133" s="54" t="s">
        <v>732</v>
      </c>
      <c r="O133" s="13" t="s">
        <v>733</v>
      </c>
      <c r="P133" s="13">
        <v>17357096036</v>
      </c>
      <c r="Q133" s="54" t="s">
        <v>1620</v>
      </c>
      <c r="R133" s="54" t="s">
        <v>1621</v>
      </c>
      <c r="S133" s="57" t="s">
        <v>1622</v>
      </c>
      <c r="T133" s="57" t="s">
        <v>1623</v>
      </c>
      <c r="U133" s="13" t="s">
        <v>1599</v>
      </c>
      <c r="V133" s="13" t="s">
        <v>1600</v>
      </c>
      <c r="W133" s="13" t="s">
        <v>738</v>
      </c>
      <c r="X133" s="59">
        <v>248.8</v>
      </c>
      <c r="Y133" s="60">
        <v>42.48</v>
      </c>
      <c r="Z133" s="60">
        <v>40.55</v>
      </c>
      <c r="AA133" s="61" t="s">
        <v>1420</v>
      </c>
      <c r="AB133" s="18"/>
      <c r="AC133" s="19"/>
      <c r="AD133" s="19"/>
      <c r="AE133" s="19"/>
      <c r="AF133" s="38"/>
      <c r="AG133" s="38"/>
      <c r="AH133" s="38"/>
    </row>
    <row r="134" s="33" customFormat="1" spans="1:34">
      <c r="A134" s="13" t="s">
        <v>39</v>
      </c>
      <c r="B134" s="13" t="s">
        <v>40</v>
      </c>
      <c r="C134" s="13" t="s">
        <v>41</v>
      </c>
      <c r="D134" s="54" t="s">
        <v>368</v>
      </c>
      <c r="E134" s="55"/>
      <c r="F134" s="13" t="s">
        <v>43</v>
      </c>
      <c r="G134" s="13" t="s">
        <v>44</v>
      </c>
      <c r="H134" s="13" t="s">
        <v>45</v>
      </c>
      <c r="I134" s="56" t="s">
        <v>625</v>
      </c>
      <c r="J134" s="54" t="s">
        <v>626</v>
      </c>
      <c r="K134" s="13" t="s">
        <v>628</v>
      </c>
      <c r="L134" s="13"/>
      <c r="M134" s="56" t="s">
        <v>641</v>
      </c>
      <c r="N134" s="54" t="s">
        <v>766</v>
      </c>
      <c r="O134" s="13" t="s">
        <v>767</v>
      </c>
      <c r="P134" s="13">
        <v>15157083323</v>
      </c>
      <c r="Q134" s="54" t="s">
        <v>644</v>
      </c>
      <c r="R134" s="54" t="s">
        <v>787</v>
      </c>
      <c r="S134" s="57" t="s">
        <v>646</v>
      </c>
      <c r="T134" s="57" t="s">
        <v>1624</v>
      </c>
      <c r="U134" s="13" t="s">
        <v>1625</v>
      </c>
      <c r="V134" s="13" t="s">
        <v>1626</v>
      </c>
      <c r="W134" s="13" t="s">
        <v>772</v>
      </c>
      <c r="X134" s="67">
        <v>102.9</v>
      </c>
      <c r="Y134" s="60">
        <v>12.46</v>
      </c>
      <c r="Z134" s="60">
        <v>12.47</v>
      </c>
      <c r="AA134" s="61" t="s">
        <v>1420</v>
      </c>
      <c r="AB134" s="18"/>
      <c r="AC134" s="19"/>
      <c r="AD134" s="19"/>
      <c r="AE134" s="19"/>
      <c r="AF134" s="38"/>
      <c r="AG134" s="38"/>
      <c r="AH134" s="38"/>
    </row>
    <row r="135" s="33" customFormat="1" spans="1:34">
      <c r="A135" s="13" t="s">
        <v>39</v>
      </c>
      <c r="B135" s="13" t="s">
        <v>40</v>
      </c>
      <c r="C135" s="13" t="s">
        <v>41</v>
      </c>
      <c r="D135" s="54" t="s">
        <v>368</v>
      </c>
      <c r="E135" s="55"/>
      <c r="F135" s="13" t="s">
        <v>43</v>
      </c>
      <c r="G135" s="13" t="s">
        <v>44</v>
      </c>
      <c r="H135" s="13" t="s">
        <v>45</v>
      </c>
      <c r="I135" s="56" t="s">
        <v>625</v>
      </c>
      <c r="J135" s="54" t="s">
        <v>626</v>
      </c>
      <c r="K135" s="13" t="s">
        <v>628</v>
      </c>
      <c r="L135" s="13"/>
      <c r="M135" s="56" t="s">
        <v>641</v>
      </c>
      <c r="N135" s="54" t="s">
        <v>766</v>
      </c>
      <c r="O135" s="13" t="s">
        <v>767</v>
      </c>
      <c r="P135" s="13">
        <v>15157083323</v>
      </c>
      <c r="Q135" s="54" t="s">
        <v>644</v>
      </c>
      <c r="R135" s="54" t="s">
        <v>787</v>
      </c>
      <c r="S135" s="57" t="s">
        <v>649</v>
      </c>
      <c r="T135" s="57" t="s">
        <v>1627</v>
      </c>
      <c r="U135" s="13" t="s">
        <v>1625</v>
      </c>
      <c r="V135" s="13" t="s">
        <v>1626</v>
      </c>
      <c r="W135" s="13" t="s">
        <v>772</v>
      </c>
      <c r="X135" s="67">
        <v>102.9</v>
      </c>
      <c r="Y135" s="60">
        <v>16.51</v>
      </c>
      <c r="Z135" s="60">
        <v>15.74</v>
      </c>
      <c r="AA135" s="61" t="s">
        <v>1420</v>
      </c>
      <c r="AB135" s="18"/>
      <c r="AC135" s="19"/>
      <c r="AD135" s="19"/>
      <c r="AE135" s="19"/>
      <c r="AF135" s="38"/>
      <c r="AG135" s="38"/>
      <c r="AH135" s="38"/>
    </row>
    <row r="136" spans="1:34">
      <c r="A136" s="13" t="s">
        <v>39</v>
      </c>
      <c r="B136" s="13" t="s">
        <v>40</v>
      </c>
      <c r="C136" s="13" t="s">
        <v>41</v>
      </c>
      <c r="D136" s="54" t="s">
        <v>368</v>
      </c>
      <c r="E136" s="55"/>
      <c r="F136" s="13" t="s">
        <v>43</v>
      </c>
      <c r="G136" s="13" t="s">
        <v>44</v>
      </c>
      <c r="H136" s="13" t="s">
        <v>45</v>
      </c>
      <c r="I136" s="11" t="s">
        <v>625</v>
      </c>
      <c r="J136" s="54" t="s">
        <v>626</v>
      </c>
      <c r="K136" s="13" t="s">
        <v>628</v>
      </c>
      <c r="L136" s="13"/>
      <c r="M136" s="11" t="s">
        <v>641</v>
      </c>
      <c r="N136" s="54" t="s">
        <v>766</v>
      </c>
      <c r="O136" s="13" t="s">
        <v>767</v>
      </c>
      <c r="P136" s="13">
        <v>15157083323</v>
      </c>
      <c r="Q136" s="54" t="s">
        <v>644</v>
      </c>
      <c r="R136" s="54" t="s">
        <v>787</v>
      </c>
      <c r="S136" s="57" t="s">
        <v>1628</v>
      </c>
      <c r="T136" s="57" t="s">
        <v>1629</v>
      </c>
      <c r="U136" s="64" t="s">
        <v>1625</v>
      </c>
      <c r="V136" s="13" t="s">
        <v>1626</v>
      </c>
      <c r="W136" s="64" t="s">
        <v>792</v>
      </c>
      <c r="X136" s="67">
        <v>10.502</v>
      </c>
      <c r="Y136" s="60">
        <v>5.15</v>
      </c>
      <c r="Z136" s="60">
        <v>5.14</v>
      </c>
      <c r="AA136" s="61" t="s">
        <v>1420</v>
      </c>
      <c r="AB136" s="18"/>
      <c r="AC136" s="19"/>
      <c r="AD136" s="19"/>
      <c r="AE136" s="19"/>
    </row>
    <row r="137" spans="1:34">
      <c r="A137" s="13" t="s">
        <v>39</v>
      </c>
      <c r="B137" s="13" t="s">
        <v>40</v>
      </c>
      <c r="C137" s="13" t="s">
        <v>41</v>
      </c>
      <c r="D137" s="54" t="s">
        <v>368</v>
      </c>
      <c r="E137" s="55"/>
      <c r="F137" s="13" t="s">
        <v>43</v>
      </c>
      <c r="G137" s="13" t="s">
        <v>44</v>
      </c>
      <c r="H137" s="13" t="s">
        <v>45</v>
      </c>
      <c r="I137" s="11" t="s">
        <v>625</v>
      </c>
      <c r="J137" s="54" t="s">
        <v>626</v>
      </c>
      <c r="K137" s="13" t="s">
        <v>628</v>
      </c>
      <c r="L137" s="13"/>
      <c r="M137" s="11" t="s">
        <v>641</v>
      </c>
      <c r="N137" s="54" t="s">
        <v>766</v>
      </c>
      <c r="O137" s="13" t="s">
        <v>767</v>
      </c>
      <c r="P137" s="13">
        <v>15157083323</v>
      </c>
      <c r="Q137" s="54" t="s">
        <v>644</v>
      </c>
      <c r="R137" s="54" t="s">
        <v>787</v>
      </c>
      <c r="S137" s="57" t="s">
        <v>1630</v>
      </c>
      <c r="T137" s="57" t="s">
        <v>1631</v>
      </c>
      <c r="U137" s="64" t="s">
        <v>1625</v>
      </c>
      <c r="V137" s="13" t="s">
        <v>1626</v>
      </c>
      <c r="W137" s="64" t="s">
        <v>792</v>
      </c>
      <c r="X137" s="67">
        <v>10.502</v>
      </c>
      <c r="Y137" s="60">
        <v>6.48</v>
      </c>
      <c r="Z137" s="60">
        <v>6.09</v>
      </c>
      <c r="AA137" s="61" t="s">
        <v>1420</v>
      </c>
      <c r="AB137" s="18"/>
      <c r="AC137" s="19"/>
      <c r="AD137" s="19"/>
      <c r="AE137" s="19"/>
    </row>
    <row r="138" s="33" customFormat="1" spans="1:34">
      <c r="A138" s="13" t="s">
        <v>39</v>
      </c>
      <c r="B138" s="13" t="s">
        <v>40</v>
      </c>
      <c r="C138" s="13" t="s">
        <v>41</v>
      </c>
      <c r="D138" s="54" t="s">
        <v>368</v>
      </c>
      <c r="E138" s="55"/>
      <c r="F138" s="13" t="s">
        <v>43</v>
      </c>
      <c r="G138" s="13" t="s">
        <v>44</v>
      </c>
      <c r="H138" s="13" t="s">
        <v>45</v>
      </c>
      <c r="I138" s="56" t="s">
        <v>625</v>
      </c>
      <c r="J138" s="54" t="s">
        <v>626</v>
      </c>
      <c r="K138" s="13" t="s">
        <v>628</v>
      </c>
      <c r="L138" s="13"/>
      <c r="M138" s="56" t="s">
        <v>641</v>
      </c>
      <c r="N138" s="54" t="s">
        <v>766</v>
      </c>
      <c r="O138" s="13" t="s">
        <v>767</v>
      </c>
      <c r="P138" s="13">
        <v>15157083323</v>
      </c>
      <c r="Q138" s="54" t="s">
        <v>651</v>
      </c>
      <c r="R138" s="54" t="s">
        <v>1632</v>
      </c>
      <c r="S138" s="57" t="s">
        <v>653</v>
      </c>
      <c r="T138" s="57" t="s">
        <v>1633</v>
      </c>
      <c r="U138" s="13" t="s">
        <v>1625</v>
      </c>
      <c r="V138" s="13" t="s">
        <v>1626</v>
      </c>
      <c r="W138" s="13" t="s">
        <v>777</v>
      </c>
      <c r="X138" s="67">
        <v>90.1</v>
      </c>
      <c r="Y138" s="60">
        <v>3.26</v>
      </c>
      <c r="Z138" s="60">
        <v>3.26</v>
      </c>
      <c r="AA138" s="61" t="s">
        <v>1420</v>
      </c>
      <c r="AB138" s="18"/>
      <c r="AC138" s="19"/>
      <c r="AD138" s="19"/>
      <c r="AE138" s="19"/>
      <c r="AF138" s="38"/>
      <c r="AG138" s="38"/>
      <c r="AH138" s="38"/>
    </row>
    <row r="139" s="33" customFormat="1" spans="1:34">
      <c r="A139" s="13" t="s">
        <v>39</v>
      </c>
      <c r="B139" s="13" t="s">
        <v>40</v>
      </c>
      <c r="C139" s="13" t="s">
        <v>41</v>
      </c>
      <c r="D139" s="54" t="s">
        <v>368</v>
      </c>
      <c r="E139" s="55"/>
      <c r="F139" s="13" t="s">
        <v>43</v>
      </c>
      <c r="G139" s="13" t="s">
        <v>44</v>
      </c>
      <c r="H139" s="13" t="s">
        <v>45</v>
      </c>
      <c r="I139" s="56" t="s">
        <v>625</v>
      </c>
      <c r="J139" s="54" t="s">
        <v>626</v>
      </c>
      <c r="K139" s="13" t="s">
        <v>628</v>
      </c>
      <c r="L139" s="13"/>
      <c r="M139" s="56" t="s">
        <v>641</v>
      </c>
      <c r="N139" s="54" t="s">
        <v>766</v>
      </c>
      <c r="O139" s="13" t="s">
        <v>767</v>
      </c>
      <c r="P139" s="13">
        <v>15157083323</v>
      </c>
      <c r="Q139" s="54" t="s">
        <v>651</v>
      </c>
      <c r="R139" s="54" t="s">
        <v>1632</v>
      </c>
      <c r="S139" s="57" t="s">
        <v>1634</v>
      </c>
      <c r="T139" s="57" t="s">
        <v>1635</v>
      </c>
      <c r="U139" s="13" t="s">
        <v>1625</v>
      </c>
      <c r="V139" s="13" t="s">
        <v>1626</v>
      </c>
      <c r="W139" s="13" t="s">
        <v>777</v>
      </c>
      <c r="X139" s="67">
        <v>90.1</v>
      </c>
      <c r="Y139" s="60">
        <v>10.81</v>
      </c>
      <c r="Z139" s="60">
        <v>10.8</v>
      </c>
      <c r="AA139" s="61" t="s">
        <v>1420</v>
      </c>
      <c r="AB139" s="18"/>
      <c r="AC139" s="19"/>
      <c r="AD139" s="19"/>
      <c r="AE139" s="19"/>
      <c r="AF139" s="38"/>
      <c r="AG139" s="38"/>
      <c r="AH139" s="38"/>
    </row>
    <row r="140" s="33" customFormat="1" spans="1:34">
      <c r="A140" s="13" t="s">
        <v>39</v>
      </c>
      <c r="B140" s="13" t="s">
        <v>40</v>
      </c>
      <c r="C140" s="13" t="s">
        <v>41</v>
      </c>
      <c r="D140" s="54" t="s">
        <v>368</v>
      </c>
      <c r="E140" s="55"/>
      <c r="F140" s="13" t="s">
        <v>43</v>
      </c>
      <c r="G140" s="13" t="s">
        <v>44</v>
      </c>
      <c r="H140" s="13" t="s">
        <v>45</v>
      </c>
      <c r="I140" s="56" t="s">
        <v>625</v>
      </c>
      <c r="J140" s="54" t="s">
        <v>626</v>
      </c>
      <c r="K140" s="13" t="s">
        <v>628</v>
      </c>
      <c r="L140" s="13"/>
      <c r="M140" s="56" t="s">
        <v>641</v>
      </c>
      <c r="N140" s="54" t="s">
        <v>766</v>
      </c>
      <c r="O140" s="13" t="s">
        <v>767</v>
      </c>
      <c r="P140" s="13">
        <v>15157083323</v>
      </c>
      <c r="Q140" s="54" t="s">
        <v>651</v>
      </c>
      <c r="R140" s="54" t="s">
        <v>1632</v>
      </c>
      <c r="S140" s="57"/>
      <c r="T140" s="57" t="s">
        <v>1636</v>
      </c>
      <c r="U140" s="13"/>
      <c r="V140" s="13"/>
      <c r="W140" s="13" t="s">
        <v>777</v>
      </c>
      <c r="X140" s="67">
        <v>90.1</v>
      </c>
      <c r="Y140" s="60">
        <v>3.69</v>
      </c>
      <c r="Z140" s="60">
        <v>3.69</v>
      </c>
      <c r="AA140" s="61" t="s">
        <v>1420</v>
      </c>
      <c r="AB140" s="18"/>
      <c r="AC140" s="19"/>
      <c r="AD140" s="19"/>
      <c r="AE140" s="19"/>
      <c r="AF140" s="38"/>
      <c r="AG140" s="38"/>
      <c r="AH140" s="38"/>
    </row>
    <row r="141" s="33" customFormat="1" spans="1:34">
      <c r="A141" s="13" t="s">
        <v>39</v>
      </c>
      <c r="B141" s="13" t="s">
        <v>40</v>
      </c>
      <c r="C141" s="13" t="s">
        <v>41</v>
      </c>
      <c r="D141" s="54" t="s">
        <v>368</v>
      </c>
      <c r="E141" s="55"/>
      <c r="F141" s="13" t="s">
        <v>43</v>
      </c>
      <c r="G141" s="13" t="s">
        <v>44</v>
      </c>
      <c r="H141" s="13" t="s">
        <v>45</v>
      </c>
      <c r="I141" s="56" t="s">
        <v>625</v>
      </c>
      <c r="J141" s="54" t="s">
        <v>626</v>
      </c>
      <c r="K141" s="13" t="s">
        <v>628</v>
      </c>
      <c r="L141" s="13"/>
      <c r="M141" s="56" t="s">
        <v>641</v>
      </c>
      <c r="N141" s="54" t="s">
        <v>766</v>
      </c>
      <c r="O141" s="13" t="s">
        <v>767</v>
      </c>
      <c r="P141" s="13">
        <v>15157083323</v>
      </c>
      <c r="Q141" s="54" t="s">
        <v>651</v>
      </c>
      <c r="R141" s="54" t="s">
        <v>1632</v>
      </c>
      <c r="S141" s="57"/>
      <c r="T141" s="57" t="s">
        <v>1637</v>
      </c>
      <c r="U141" s="13"/>
      <c r="V141" s="13"/>
      <c r="W141" s="13" t="s">
        <v>777</v>
      </c>
      <c r="X141" s="67">
        <v>90.1</v>
      </c>
      <c r="Y141" s="60">
        <v>0.57</v>
      </c>
      <c r="Z141" s="60">
        <v>0.58</v>
      </c>
      <c r="AA141" s="61" t="s">
        <v>1420</v>
      </c>
      <c r="AB141" s="18"/>
      <c r="AC141" s="19"/>
      <c r="AD141" s="19"/>
      <c r="AE141" s="19"/>
      <c r="AF141" s="38"/>
      <c r="AG141" s="38"/>
      <c r="AH141" s="38"/>
    </row>
    <row r="142" s="33" customFormat="1" spans="1:34">
      <c r="A142" s="13" t="s">
        <v>39</v>
      </c>
      <c r="B142" s="13" t="s">
        <v>40</v>
      </c>
      <c r="C142" s="13" t="s">
        <v>41</v>
      </c>
      <c r="D142" s="54" t="s">
        <v>368</v>
      </c>
      <c r="E142" s="55"/>
      <c r="F142" s="13" t="s">
        <v>43</v>
      </c>
      <c r="G142" s="13" t="s">
        <v>44</v>
      </c>
      <c r="H142" s="13" t="s">
        <v>45</v>
      </c>
      <c r="I142" s="56" t="s">
        <v>625</v>
      </c>
      <c r="J142" s="54" t="s">
        <v>626</v>
      </c>
      <c r="K142" s="13" t="s">
        <v>628</v>
      </c>
      <c r="L142" s="13"/>
      <c r="M142" s="56" t="s">
        <v>641</v>
      </c>
      <c r="N142" s="54" t="s">
        <v>766</v>
      </c>
      <c r="O142" s="13" t="s">
        <v>767</v>
      </c>
      <c r="P142" s="13">
        <v>15157083323</v>
      </c>
      <c r="Q142" s="54" t="s">
        <v>651</v>
      </c>
      <c r="R142" s="54" t="s">
        <v>1632</v>
      </c>
      <c r="S142" s="57"/>
      <c r="T142" s="57" t="s">
        <v>1638</v>
      </c>
      <c r="U142" s="13"/>
      <c r="V142" s="13"/>
      <c r="W142" s="13" t="s">
        <v>777</v>
      </c>
      <c r="X142" s="67">
        <v>90.1</v>
      </c>
      <c r="Y142" s="60">
        <v>11.39</v>
      </c>
      <c r="Z142" s="60">
        <v>11.39</v>
      </c>
      <c r="AA142" s="61" t="s">
        <v>1420</v>
      </c>
      <c r="AB142" s="18"/>
      <c r="AC142" s="19"/>
      <c r="AD142" s="19"/>
      <c r="AE142" s="19"/>
      <c r="AF142" s="38"/>
      <c r="AG142" s="38"/>
      <c r="AH142" s="38"/>
    </row>
    <row r="143" s="33" customFormat="1" spans="1:34">
      <c r="A143" s="13" t="s">
        <v>39</v>
      </c>
      <c r="B143" s="13" t="s">
        <v>40</v>
      </c>
      <c r="C143" s="13" t="s">
        <v>41</v>
      </c>
      <c r="D143" s="54" t="s">
        <v>368</v>
      </c>
      <c r="E143" s="55"/>
      <c r="F143" s="13" t="s">
        <v>43</v>
      </c>
      <c r="G143" s="13" t="s">
        <v>44</v>
      </c>
      <c r="H143" s="13" t="s">
        <v>45</v>
      </c>
      <c r="I143" s="56" t="s">
        <v>625</v>
      </c>
      <c r="J143" s="54" t="s">
        <v>626</v>
      </c>
      <c r="K143" s="13" t="s">
        <v>628</v>
      </c>
      <c r="L143" s="13"/>
      <c r="M143" s="56" t="s">
        <v>641</v>
      </c>
      <c r="N143" s="54" t="s">
        <v>766</v>
      </c>
      <c r="O143" s="13" t="s">
        <v>767</v>
      </c>
      <c r="P143" s="13">
        <v>15157083323</v>
      </c>
      <c r="Q143" s="54" t="s">
        <v>651</v>
      </c>
      <c r="R143" s="54" t="s">
        <v>1632</v>
      </c>
      <c r="S143" s="57"/>
      <c r="T143" s="57" t="s">
        <v>1639</v>
      </c>
      <c r="U143" s="13"/>
      <c r="V143" s="13"/>
      <c r="W143" s="13" t="s">
        <v>777</v>
      </c>
      <c r="X143" s="67">
        <v>90.1</v>
      </c>
      <c r="Y143" s="60">
        <v>4.63</v>
      </c>
      <c r="Z143" s="60">
        <v>4.63</v>
      </c>
      <c r="AA143" s="61" t="s">
        <v>1420</v>
      </c>
      <c r="AB143" s="18"/>
      <c r="AC143" s="19"/>
      <c r="AD143" s="19"/>
      <c r="AE143" s="19"/>
      <c r="AF143" s="38"/>
      <c r="AG143" s="38"/>
      <c r="AH143" s="38"/>
    </row>
    <row r="144" s="33" customFormat="1" spans="1:34">
      <c r="A144" s="13" t="s">
        <v>39</v>
      </c>
      <c r="B144" s="13" t="s">
        <v>40</v>
      </c>
      <c r="C144" s="13" t="s">
        <v>41</v>
      </c>
      <c r="D144" s="54" t="s">
        <v>368</v>
      </c>
      <c r="E144" s="55"/>
      <c r="F144" s="13" t="s">
        <v>43</v>
      </c>
      <c r="G144" s="13" t="s">
        <v>44</v>
      </c>
      <c r="H144" s="13" t="s">
        <v>45</v>
      </c>
      <c r="I144" s="56" t="s">
        <v>625</v>
      </c>
      <c r="J144" s="54" t="s">
        <v>626</v>
      </c>
      <c r="K144" s="13" t="s">
        <v>628</v>
      </c>
      <c r="L144" s="13"/>
      <c r="M144" s="56" t="s">
        <v>641</v>
      </c>
      <c r="N144" s="54" t="s">
        <v>766</v>
      </c>
      <c r="O144" s="13" t="s">
        <v>767</v>
      </c>
      <c r="P144" s="13">
        <v>15157083323</v>
      </c>
      <c r="Q144" s="54" t="s">
        <v>651</v>
      </c>
      <c r="R144" s="54" t="s">
        <v>1632</v>
      </c>
      <c r="S144" s="57"/>
      <c r="T144" s="57" t="s">
        <v>1640</v>
      </c>
      <c r="U144" s="13"/>
      <c r="V144" s="13"/>
      <c r="W144" s="13" t="s">
        <v>777</v>
      </c>
      <c r="X144" s="67">
        <v>90.1</v>
      </c>
      <c r="Y144" s="60">
        <v>7.38</v>
      </c>
      <c r="Z144" s="60">
        <v>7.38</v>
      </c>
      <c r="AA144" s="61" t="s">
        <v>1420</v>
      </c>
      <c r="AB144" s="18"/>
      <c r="AC144" s="19"/>
      <c r="AD144" s="19"/>
      <c r="AE144" s="19"/>
      <c r="AF144" s="38"/>
      <c r="AG144" s="38"/>
      <c r="AH144" s="38"/>
    </row>
    <row r="145" s="33" customFormat="1" spans="1:34">
      <c r="A145" s="13" t="s">
        <v>39</v>
      </c>
      <c r="B145" s="13" t="s">
        <v>40</v>
      </c>
      <c r="C145" s="13" t="s">
        <v>41</v>
      </c>
      <c r="D145" s="54" t="s">
        <v>368</v>
      </c>
      <c r="E145" s="55"/>
      <c r="F145" s="13" t="s">
        <v>43</v>
      </c>
      <c r="G145" s="13" t="s">
        <v>44</v>
      </c>
      <c r="H145" s="13" t="s">
        <v>45</v>
      </c>
      <c r="I145" s="56" t="s">
        <v>625</v>
      </c>
      <c r="J145" s="54" t="s">
        <v>626</v>
      </c>
      <c r="K145" s="13" t="s">
        <v>628</v>
      </c>
      <c r="L145" s="13"/>
      <c r="M145" s="56" t="s">
        <v>641</v>
      </c>
      <c r="N145" s="54" t="s">
        <v>766</v>
      </c>
      <c r="O145" s="13" t="s">
        <v>767</v>
      </c>
      <c r="P145" s="13">
        <v>15157083323</v>
      </c>
      <c r="Q145" s="54" t="s">
        <v>651</v>
      </c>
      <c r="R145" s="54" t="s">
        <v>1632</v>
      </c>
      <c r="S145" s="57"/>
      <c r="T145" s="57" t="s">
        <v>1641</v>
      </c>
      <c r="U145" s="13"/>
      <c r="V145" s="13"/>
      <c r="W145" s="13" t="s">
        <v>777</v>
      </c>
      <c r="X145" s="67">
        <v>90.1</v>
      </c>
      <c r="Y145" s="60">
        <v>2.78</v>
      </c>
      <c r="Z145" s="60">
        <v>2.78</v>
      </c>
      <c r="AA145" s="61" t="s">
        <v>1420</v>
      </c>
      <c r="AB145" s="18"/>
      <c r="AC145" s="19"/>
      <c r="AD145" s="19"/>
      <c r="AE145" s="19"/>
      <c r="AF145" s="38"/>
      <c r="AG145" s="38"/>
      <c r="AH145" s="38"/>
    </row>
    <row r="146" s="33" customFormat="1" spans="1:34">
      <c r="A146" s="13" t="s">
        <v>39</v>
      </c>
      <c r="B146" s="13" t="s">
        <v>40</v>
      </c>
      <c r="C146" s="13" t="s">
        <v>41</v>
      </c>
      <c r="D146" s="54" t="s">
        <v>368</v>
      </c>
      <c r="E146" s="55"/>
      <c r="F146" s="13" t="s">
        <v>43</v>
      </c>
      <c r="G146" s="13" t="s">
        <v>44</v>
      </c>
      <c r="H146" s="13" t="s">
        <v>45</v>
      </c>
      <c r="I146" s="56" t="s">
        <v>625</v>
      </c>
      <c r="J146" s="54" t="s">
        <v>626</v>
      </c>
      <c r="K146" s="13" t="s">
        <v>628</v>
      </c>
      <c r="L146" s="13"/>
      <c r="M146" s="56" t="s">
        <v>641</v>
      </c>
      <c r="N146" s="54" t="s">
        <v>766</v>
      </c>
      <c r="O146" s="13" t="s">
        <v>767</v>
      </c>
      <c r="P146" s="13">
        <v>15157083323</v>
      </c>
      <c r="Q146" s="54" t="s">
        <v>651</v>
      </c>
      <c r="R146" s="54" t="s">
        <v>1632</v>
      </c>
      <c r="S146" s="57"/>
      <c r="T146" s="57" t="s">
        <v>1642</v>
      </c>
      <c r="U146" s="13"/>
      <c r="V146" s="13"/>
      <c r="W146" s="13" t="s">
        <v>777</v>
      </c>
      <c r="X146" s="67">
        <v>90.1</v>
      </c>
      <c r="Y146" s="60">
        <v>0.34</v>
      </c>
      <c r="Z146" s="60">
        <v>0.34</v>
      </c>
      <c r="AA146" s="61" t="s">
        <v>1420</v>
      </c>
      <c r="AB146" s="18"/>
      <c r="AC146" s="19"/>
      <c r="AD146" s="19"/>
      <c r="AE146" s="19"/>
      <c r="AF146" s="38"/>
      <c r="AG146" s="38"/>
      <c r="AH146" s="38"/>
    </row>
    <row r="147" s="33" customFormat="1" spans="1:34">
      <c r="A147" s="13" t="s">
        <v>39</v>
      </c>
      <c r="B147" s="13" t="s">
        <v>40</v>
      </c>
      <c r="C147" s="13" t="s">
        <v>41</v>
      </c>
      <c r="D147" s="54" t="s">
        <v>368</v>
      </c>
      <c r="E147" s="55"/>
      <c r="F147" s="13" t="s">
        <v>43</v>
      </c>
      <c r="G147" s="13" t="s">
        <v>44</v>
      </c>
      <c r="H147" s="13" t="s">
        <v>45</v>
      </c>
      <c r="I147" s="56" t="s">
        <v>625</v>
      </c>
      <c r="J147" s="54" t="s">
        <v>626</v>
      </c>
      <c r="K147" s="13" t="s">
        <v>628</v>
      </c>
      <c r="L147" s="13"/>
      <c r="M147" s="56" t="s">
        <v>641</v>
      </c>
      <c r="N147" s="54" t="s">
        <v>766</v>
      </c>
      <c r="O147" s="13" t="s">
        <v>767</v>
      </c>
      <c r="P147" s="13">
        <v>15157083323</v>
      </c>
      <c r="Q147" s="54" t="s">
        <v>651</v>
      </c>
      <c r="R147" s="54" t="s">
        <v>1632</v>
      </c>
      <c r="S147" s="57"/>
      <c r="T147" s="57" t="s">
        <v>1643</v>
      </c>
      <c r="U147" s="13"/>
      <c r="V147" s="13"/>
      <c r="W147" s="13" t="s">
        <v>777</v>
      </c>
      <c r="X147" s="67">
        <v>90.1</v>
      </c>
      <c r="Y147" s="60">
        <v>14.4</v>
      </c>
      <c r="Z147" s="60">
        <v>14.4</v>
      </c>
      <c r="AA147" s="61" t="s">
        <v>1420</v>
      </c>
      <c r="AB147" s="18"/>
      <c r="AC147" s="19"/>
      <c r="AD147" s="19"/>
      <c r="AE147" s="19"/>
      <c r="AF147" s="38"/>
      <c r="AG147" s="38"/>
      <c r="AH147" s="38"/>
    </row>
    <row r="148" s="33" customFormat="1" spans="1:34">
      <c r="A148" s="13" t="s">
        <v>39</v>
      </c>
      <c r="B148" s="13" t="s">
        <v>40</v>
      </c>
      <c r="C148" s="13" t="s">
        <v>41</v>
      </c>
      <c r="D148" s="54" t="s">
        <v>368</v>
      </c>
      <c r="E148" s="55"/>
      <c r="F148" s="13" t="s">
        <v>43</v>
      </c>
      <c r="G148" s="13" t="s">
        <v>44</v>
      </c>
      <c r="H148" s="13" t="s">
        <v>45</v>
      </c>
      <c r="I148" s="56" t="s">
        <v>625</v>
      </c>
      <c r="J148" s="54" t="s">
        <v>626</v>
      </c>
      <c r="K148" s="13" t="s">
        <v>628</v>
      </c>
      <c r="L148" s="13"/>
      <c r="M148" s="56" t="s">
        <v>641</v>
      </c>
      <c r="N148" s="54" t="s">
        <v>766</v>
      </c>
      <c r="O148" s="13" t="s">
        <v>767</v>
      </c>
      <c r="P148" s="13">
        <v>15157083323</v>
      </c>
      <c r="Q148" s="54" t="s">
        <v>651</v>
      </c>
      <c r="R148" s="54" t="s">
        <v>1632</v>
      </c>
      <c r="S148" s="57"/>
      <c r="T148" s="57" t="s">
        <v>1644</v>
      </c>
      <c r="U148" s="13"/>
      <c r="V148" s="13"/>
      <c r="W148" s="13" t="s">
        <v>777</v>
      </c>
      <c r="X148" s="67">
        <v>90.1</v>
      </c>
      <c r="Y148" s="60">
        <v>0.42</v>
      </c>
      <c r="Z148" s="60">
        <v>0.42</v>
      </c>
      <c r="AA148" s="61" t="s">
        <v>1420</v>
      </c>
      <c r="AB148" s="18"/>
      <c r="AC148" s="19"/>
      <c r="AD148" s="19"/>
      <c r="AE148" s="19"/>
      <c r="AF148" s="38"/>
      <c r="AG148" s="38"/>
      <c r="AH148" s="38"/>
    </row>
    <row r="149" s="33" customFormat="1" spans="1:34">
      <c r="A149" s="13" t="s">
        <v>39</v>
      </c>
      <c r="B149" s="13" t="s">
        <v>40</v>
      </c>
      <c r="C149" s="13" t="s">
        <v>41</v>
      </c>
      <c r="D149" s="54" t="s">
        <v>368</v>
      </c>
      <c r="E149" s="55"/>
      <c r="F149" s="13" t="s">
        <v>43</v>
      </c>
      <c r="G149" s="13" t="s">
        <v>44</v>
      </c>
      <c r="H149" s="13" t="s">
        <v>45</v>
      </c>
      <c r="I149" s="56" t="s">
        <v>625</v>
      </c>
      <c r="J149" s="54" t="s">
        <v>626</v>
      </c>
      <c r="K149" s="13" t="s">
        <v>628</v>
      </c>
      <c r="L149" s="13"/>
      <c r="M149" s="56" t="s">
        <v>641</v>
      </c>
      <c r="N149" s="54" t="s">
        <v>766</v>
      </c>
      <c r="O149" s="13" t="s">
        <v>767</v>
      </c>
      <c r="P149" s="13">
        <v>15157083323</v>
      </c>
      <c r="Q149" s="54" t="s">
        <v>655</v>
      </c>
      <c r="R149" s="54" t="s">
        <v>769</v>
      </c>
      <c r="S149" s="57" t="s">
        <v>657</v>
      </c>
      <c r="T149" s="57" t="s">
        <v>769</v>
      </c>
      <c r="U149" s="13" t="s">
        <v>1625</v>
      </c>
      <c r="V149" s="13" t="s">
        <v>1626</v>
      </c>
      <c r="W149" s="13" t="s">
        <v>772</v>
      </c>
      <c r="X149" s="67">
        <v>102.9</v>
      </c>
      <c r="Y149" s="60">
        <v>78.68</v>
      </c>
      <c r="Z149" s="60">
        <v>78.68</v>
      </c>
      <c r="AA149" s="61" t="s">
        <v>1420</v>
      </c>
      <c r="AB149" s="18"/>
      <c r="AC149" s="19"/>
      <c r="AD149" s="19"/>
      <c r="AE149" s="19"/>
      <c r="AF149" s="38"/>
      <c r="AG149" s="38"/>
      <c r="AH149" s="38"/>
    </row>
    <row r="150" s="33" customFormat="1" spans="1:34">
      <c r="A150" s="13" t="s">
        <v>39</v>
      </c>
      <c r="B150" s="13" t="s">
        <v>40</v>
      </c>
      <c r="C150" s="13" t="s">
        <v>41</v>
      </c>
      <c r="D150" s="54" t="s">
        <v>368</v>
      </c>
      <c r="E150" s="55"/>
      <c r="F150" s="13" t="s">
        <v>43</v>
      </c>
      <c r="G150" s="13" t="s">
        <v>44</v>
      </c>
      <c r="H150" s="13" t="s">
        <v>45</v>
      </c>
      <c r="I150" s="56" t="s">
        <v>625</v>
      </c>
      <c r="J150" s="54" t="s">
        <v>626</v>
      </c>
      <c r="K150" s="13" t="s">
        <v>628</v>
      </c>
      <c r="L150" s="13"/>
      <c r="M150" s="56" t="s">
        <v>641</v>
      </c>
      <c r="N150" s="54" t="s">
        <v>766</v>
      </c>
      <c r="O150" s="13" t="s">
        <v>767</v>
      </c>
      <c r="P150" s="13">
        <v>15157083323</v>
      </c>
      <c r="Q150" s="54" t="s">
        <v>659</v>
      </c>
      <c r="R150" s="54" t="s">
        <v>1645</v>
      </c>
      <c r="S150" s="57" t="s">
        <v>661</v>
      </c>
      <c r="T150" s="57" t="s">
        <v>1646</v>
      </c>
      <c r="U150" s="13" t="s">
        <v>1625</v>
      </c>
      <c r="V150" s="13" t="s">
        <v>1626</v>
      </c>
      <c r="W150" s="81" t="s">
        <v>785</v>
      </c>
      <c r="X150" s="67">
        <v>34.57</v>
      </c>
      <c r="Y150" s="60">
        <v>12.69</v>
      </c>
      <c r="Z150" s="60">
        <v>12.68</v>
      </c>
      <c r="AA150" s="61" t="s">
        <v>1420</v>
      </c>
      <c r="AB150" s="18"/>
      <c r="AC150" s="19"/>
      <c r="AD150" s="19"/>
      <c r="AE150" s="19"/>
      <c r="AF150" s="38"/>
      <c r="AG150" s="38"/>
      <c r="AH150" s="38"/>
    </row>
    <row r="151" s="33" customFormat="1" spans="1:34">
      <c r="A151" s="13" t="s">
        <v>39</v>
      </c>
      <c r="B151" s="13" t="s">
        <v>40</v>
      </c>
      <c r="C151" s="13" t="s">
        <v>41</v>
      </c>
      <c r="D151" s="54" t="s">
        <v>368</v>
      </c>
      <c r="E151" s="55"/>
      <c r="F151" s="13" t="s">
        <v>43</v>
      </c>
      <c r="G151" s="13" t="s">
        <v>44</v>
      </c>
      <c r="H151" s="13" t="s">
        <v>45</v>
      </c>
      <c r="I151" s="56" t="s">
        <v>625</v>
      </c>
      <c r="J151" s="54" t="s">
        <v>626</v>
      </c>
      <c r="K151" s="13" t="s">
        <v>628</v>
      </c>
      <c r="L151" s="13"/>
      <c r="M151" s="56" t="s">
        <v>641</v>
      </c>
      <c r="N151" s="54" t="s">
        <v>766</v>
      </c>
      <c r="O151" s="13" t="s">
        <v>767</v>
      </c>
      <c r="P151" s="13">
        <v>15157083323</v>
      </c>
      <c r="Q151" s="54" t="s">
        <v>659</v>
      </c>
      <c r="R151" s="54" t="s">
        <v>1645</v>
      </c>
      <c r="S151" s="57" t="s">
        <v>1647</v>
      </c>
      <c r="T151" s="57" t="s">
        <v>1648</v>
      </c>
      <c r="U151" s="13" t="s">
        <v>1625</v>
      </c>
      <c r="V151" s="13" t="s">
        <v>1626</v>
      </c>
      <c r="W151" s="81" t="s">
        <v>785</v>
      </c>
      <c r="X151" s="67">
        <v>34.57</v>
      </c>
      <c r="Y151" s="60">
        <v>19.12</v>
      </c>
      <c r="Z151" s="60">
        <v>19.07</v>
      </c>
      <c r="AA151" s="61" t="s">
        <v>1420</v>
      </c>
      <c r="AB151" s="18"/>
      <c r="AC151" s="19"/>
      <c r="AD151" s="19"/>
      <c r="AE151" s="19"/>
      <c r="AF151" s="38"/>
      <c r="AG151" s="38"/>
      <c r="AH151" s="38"/>
    </row>
    <row r="152" s="33" customFormat="1" spans="1:34">
      <c r="A152" s="13" t="s">
        <v>39</v>
      </c>
      <c r="B152" s="13" t="s">
        <v>40</v>
      </c>
      <c r="C152" s="13" t="s">
        <v>41</v>
      </c>
      <c r="D152" s="54" t="s">
        <v>368</v>
      </c>
      <c r="E152" s="55"/>
      <c r="F152" s="13" t="s">
        <v>43</v>
      </c>
      <c r="G152" s="13" t="s">
        <v>44</v>
      </c>
      <c r="H152" s="13" t="s">
        <v>45</v>
      </c>
      <c r="I152" s="56" t="s">
        <v>625</v>
      </c>
      <c r="J152" s="54" t="s">
        <v>626</v>
      </c>
      <c r="K152" s="13" t="s">
        <v>628</v>
      </c>
      <c r="L152" s="13"/>
      <c r="M152" s="56" t="s">
        <v>641</v>
      </c>
      <c r="N152" s="54" t="s">
        <v>766</v>
      </c>
      <c r="O152" s="13" t="s">
        <v>767</v>
      </c>
      <c r="P152" s="13">
        <v>15157083323</v>
      </c>
      <c r="Q152" s="54" t="s">
        <v>659</v>
      </c>
      <c r="R152" s="54" t="s">
        <v>1645</v>
      </c>
      <c r="S152" s="57" t="s">
        <v>1649</v>
      </c>
      <c r="T152" s="57" t="s">
        <v>1650</v>
      </c>
      <c r="U152" s="13" t="s">
        <v>1625</v>
      </c>
      <c r="V152" s="13" t="s">
        <v>1626</v>
      </c>
      <c r="W152" s="82" t="s">
        <v>785</v>
      </c>
      <c r="X152" s="67">
        <v>34.57</v>
      </c>
      <c r="Y152" s="65"/>
      <c r="Z152" s="65"/>
      <c r="AA152" s="61" t="s">
        <v>1474</v>
      </c>
      <c r="AB152" s="18"/>
      <c r="AC152" s="19"/>
      <c r="AD152" s="19"/>
      <c r="AE152" s="19"/>
      <c r="AF152" s="38"/>
      <c r="AG152" s="38"/>
      <c r="AH152" s="38"/>
    </row>
    <row r="153" s="33" customFormat="1" spans="1:34">
      <c r="A153" s="13" t="s">
        <v>39</v>
      </c>
      <c r="B153" s="13" t="s">
        <v>40</v>
      </c>
      <c r="C153" s="13" t="s">
        <v>41</v>
      </c>
      <c r="D153" s="54" t="s">
        <v>368</v>
      </c>
      <c r="E153" s="55"/>
      <c r="F153" s="13" t="s">
        <v>43</v>
      </c>
      <c r="G153" s="13" t="s">
        <v>44</v>
      </c>
      <c r="H153" s="13" t="s">
        <v>45</v>
      </c>
      <c r="I153" s="56" t="s">
        <v>625</v>
      </c>
      <c r="J153" s="54" t="s">
        <v>626</v>
      </c>
      <c r="K153" s="13" t="s">
        <v>628</v>
      </c>
      <c r="L153" s="13"/>
      <c r="M153" s="56" t="s">
        <v>641</v>
      </c>
      <c r="N153" s="54" t="s">
        <v>766</v>
      </c>
      <c r="O153" s="13" t="s">
        <v>767</v>
      </c>
      <c r="P153" s="13">
        <v>15157083323</v>
      </c>
      <c r="Q153" s="54" t="s">
        <v>663</v>
      </c>
      <c r="R153" s="54" t="s">
        <v>1651</v>
      </c>
      <c r="S153" s="57" t="s">
        <v>665</v>
      </c>
      <c r="T153" s="57" t="s">
        <v>1651</v>
      </c>
      <c r="U153" s="13" t="s">
        <v>1625</v>
      </c>
      <c r="V153" s="13" t="s">
        <v>1626</v>
      </c>
      <c r="W153" s="13" t="s">
        <v>777</v>
      </c>
      <c r="X153" s="67">
        <v>90.1</v>
      </c>
      <c r="Y153" s="65"/>
      <c r="Z153" s="65"/>
      <c r="AA153" s="61" t="s">
        <v>1474</v>
      </c>
      <c r="AB153" s="18"/>
      <c r="AC153" s="19"/>
      <c r="AD153" s="19"/>
      <c r="AE153" s="19"/>
      <c r="AF153" s="38"/>
      <c r="AG153" s="38"/>
      <c r="AH153" s="38"/>
    </row>
    <row r="154" spans="1:34">
      <c r="A154" s="13" t="s">
        <v>39</v>
      </c>
      <c r="B154" s="13" t="s">
        <v>40</v>
      </c>
      <c r="C154" s="13" t="s">
        <v>41</v>
      </c>
      <c r="D154" s="54" t="s">
        <v>368</v>
      </c>
      <c r="E154" s="55"/>
      <c r="F154" s="13" t="s">
        <v>43</v>
      </c>
      <c r="G154" s="13" t="s">
        <v>44</v>
      </c>
      <c r="H154" s="13" t="s">
        <v>45</v>
      </c>
      <c r="I154" s="11" t="s">
        <v>625</v>
      </c>
      <c r="J154" s="54" t="s">
        <v>626</v>
      </c>
      <c r="K154" s="13" t="s">
        <v>628</v>
      </c>
      <c r="L154" s="13"/>
      <c r="M154" s="11" t="s">
        <v>641</v>
      </c>
      <c r="N154" s="54" t="s">
        <v>766</v>
      </c>
      <c r="O154" s="13" t="s">
        <v>767</v>
      </c>
      <c r="P154" s="13">
        <v>15157083323</v>
      </c>
      <c r="Q154" s="54" t="s">
        <v>672</v>
      </c>
      <c r="R154" s="54" t="s">
        <v>794</v>
      </c>
      <c r="S154" s="57" t="s">
        <v>674</v>
      </c>
      <c r="T154" s="57" t="s">
        <v>1652</v>
      </c>
      <c r="U154" s="64" t="s">
        <v>1653</v>
      </c>
      <c r="V154" s="13" t="s">
        <v>1654</v>
      </c>
      <c r="W154" s="83" t="s">
        <v>800</v>
      </c>
      <c r="X154" s="84">
        <v>65.83</v>
      </c>
      <c r="Y154" s="60">
        <v>67.5</v>
      </c>
      <c r="Z154" s="60">
        <v>66.07</v>
      </c>
      <c r="AA154" s="61" t="s">
        <v>1420</v>
      </c>
      <c r="AB154" s="18"/>
      <c r="AC154" s="19"/>
      <c r="AD154" s="19"/>
      <c r="AE154" s="19"/>
    </row>
    <row r="155" ht="16.8" spans="1:34">
      <c r="A155" s="13" t="s">
        <v>39</v>
      </c>
      <c r="B155" s="13" t="s">
        <v>40</v>
      </c>
      <c r="C155" s="13" t="s">
        <v>41</v>
      </c>
      <c r="D155" s="54" t="s">
        <v>368</v>
      </c>
      <c r="E155" s="55"/>
      <c r="F155" s="13" t="s">
        <v>43</v>
      </c>
      <c r="G155" s="13" t="s">
        <v>44</v>
      </c>
      <c r="H155" s="13" t="s">
        <v>45</v>
      </c>
      <c r="I155" s="11" t="s">
        <v>625</v>
      </c>
      <c r="J155" s="54" t="s">
        <v>626</v>
      </c>
      <c r="K155" s="13" t="s">
        <v>628</v>
      </c>
      <c r="L155" s="13"/>
      <c r="M155" s="11" t="s">
        <v>641</v>
      </c>
      <c r="N155" s="54" t="s">
        <v>766</v>
      </c>
      <c r="O155" s="13" t="s">
        <v>767</v>
      </c>
      <c r="P155" s="13">
        <v>15157083323</v>
      </c>
      <c r="Q155" s="54"/>
      <c r="R155" s="54" t="s">
        <v>794</v>
      </c>
      <c r="S155" s="57"/>
      <c r="T155" s="57" t="s">
        <v>1655</v>
      </c>
      <c r="U155" s="64"/>
      <c r="V155" s="85"/>
      <c r="W155" s="86" t="s">
        <v>797</v>
      </c>
      <c r="X155" s="87">
        <v>0.5</v>
      </c>
      <c r="Y155" s="77">
        <v>0.67</v>
      </c>
      <c r="Z155" s="77">
        <v>0.67</v>
      </c>
      <c r="AA155" s="61" t="s">
        <v>1420</v>
      </c>
      <c r="AB155" s="18"/>
      <c r="AC155" s="19"/>
      <c r="AD155" s="19"/>
      <c r="AE155" s="19"/>
    </row>
    <row r="156" ht="16.8" spans="1:34">
      <c r="A156" s="13" t="s">
        <v>39</v>
      </c>
      <c r="B156" s="13" t="s">
        <v>40</v>
      </c>
      <c r="C156" s="13" t="s">
        <v>41</v>
      </c>
      <c r="D156" s="54" t="s">
        <v>368</v>
      </c>
      <c r="E156" s="55"/>
      <c r="F156" s="13" t="s">
        <v>43</v>
      </c>
      <c r="G156" s="13" t="s">
        <v>44</v>
      </c>
      <c r="H156" s="13" t="s">
        <v>45</v>
      </c>
      <c r="I156" s="11" t="s">
        <v>625</v>
      </c>
      <c r="J156" s="54" t="s">
        <v>626</v>
      </c>
      <c r="K156" s="13" t="s">
        <v>628</v>
      </c>
      <c r="L156" s="13"/>
      <c r="M156" s="11" t="s">
        <v>641</v>
      </c>
      <c r="N156" s="54" t="s">
        <v>766</v>
      </c>
      <c r="O156" s="13" t="s">
        <v>767</v>
      </c>
      <c r="P156" s="13">
        <v>15157083323</v>
      </c>
      <c r="Q156" s="54"/>
      <c r="R156" s="54" t="s">
        <v>1632</v>
      </c>
      <c r="S156" s="57"/>
      <c r="T156" s="57" t="s">
        <v>1656</v>
      </c>
      <c r="U156" s="64"/>
      <c r="V156" s="85"/>
      <c r="W156" s="86" t="s">
        <v>780</v>
      </c>
      <c r="X156" s="87">
        <v>46.033</v>
      </c>
      <c r="Y156" s="77">
        <v>4.29</v>
      </c>
      <c r="Z156" s="77">
        <v>4.29</v>
      </c>
      <c r="AA156" s="61" t="s">
        <v>1420</v>
      </c>
      <c r="AB156" s="18"/>
      <c r="AC156" s="19"/>
      <c r="AD156" s="19"/>
      <c r="AE156" s="19"/>
    </row>
    <row r="157" ht="16.8" spans="1:34">
      <c r="A157" s="13" t="s">
        <v>39</v>
      </c>
      <c r="B157" s="13" t="s">
        <v>40</v>
      </c>
      <c r="C157" s="13" t="s">
        <v>41</v>
      </c>
      <c r="D157" s="54" t="s">
        <v>368</v>
      </c>
      <c r="E157" s="55"/>
      <c r="F157" s="13" t="s">
        <v>43</v>
      </c>
      <c r="G157" s="13" t="s">
        <v>44</v>
      </c>
      <c r="H157" s="13" t="s">
        <v>45</v>
      </c>
      <c r="I157" s="11" t="s">
        <v>625</v>
      </c>
      <c r="J157" s="54" t="s">
        <v>626</v>
      </c>
      <c r="K157" s="13" t="s">
        <v>628</v>
      </c>
      <c r="L157" s="13"/>
      <c r="M157" s="11" t="s">
        <v>641</v>
      </c>
      <c r="N157" s="54" t="s">
        <v>766</v>
      </c>
      <c r="O157" s="13" t="s">
        <v>767</v>
      </c>
      <c r="P157" s="13">
        <v>15157083323</v>
      </c>
      <c r="Q157" s="54"/>
      <c r="R157" s="54" t="s">
        <v>1632</v>
      </c>
      <c r="S157" s="57"/>
      <c r="T157" s="57" t="s">
        <v>1657</v>
      </c>
      <c r="U157" s="64"/>
      <c r="V157" s="85"/>
      <c r="W157" s="86" t="s">
        <v>780</v>
      </c>
      <c r="X157" s="87">
        <v>46.033</v>
      </c>
      <c r="Y157" s="77">
        <v>1.73</v>
      </c>
      <c r="Z157" s="77">
        <v>1.73</v>
      </c>
      <c r="AA157" s="61" t="s">
        <v>1420</v>
      </c>
      <c r="AB157" s="18"/>
      <c r="AC157" s="19"/>
      <c r="AD157" s="19"/>
      <c r="AE157" s="19"/>
    </row>
    <row r="158" ht="16.8" spans="1:34">
      <c r="A158" s="13" t="s">
        <v>39</v>
      </c>
      <c r="B158" s="13" t="s">
        <v>40</v>
      </c>
      <c r="C158" s="13" t="s">
        <v>41</v>
      </c>
      <c r="D158" s="54" t="s">
        <v>368</v>
      </c>
      <c r="E158" s="55"/>
      <c r="F158" s="13" t="s">
        <v>43</v>
      </c>
      <c r="G158" s="13" t="s">
        <v>44</v>
      </c>
      <c r="H158" s="13" t="s">
        <v>45</v>
      </c>
      <c r="I158" s="11" t="s">
        <v>625</v>
      </c>
      <c r="J158" s="54" t="s">
        <v>626</v>
      </c>
      <c r="K158" s="13" t="s">
        <v>628</v>
      </c>
      <c r="L158" s="13"/>
      <c r="M158" s="11" t="s">
        <v>641</v>
      </c>
      <c r="N158" s="54" t="s">
        <v>766</v>
      </c>
      <c r="O158" s="13" t="s">
        <v>767</v>
      </c>
      <c r="P158" s="13">
        <v>15157083323</v>
      </c>
      <c r="Q158" s="54"/>
      <c r="R158" s="54" t="s">
        <v>1632</v>
      </c>
      <c r="S158" s="57"/>
      <c r="T158" s="57" t="s">
        <v>1658</v>
      </c>
      <c r="U158" s="64"/>
      <c r="V158" s="85"/>
      <c r="W158" s="86" t="s">
        <v>780</v>
      </c>
      <c r="X158" s="87">
        <v>46.033</v>
      </c>
      <c r="Y158" s="77">
        <v>0.66</v>
      </c>
      <c r="Z158" s="77">
        <v>0.65</v>
      </c>
      <c r="AA158" s="61" t="s">
        <v>1420</v>
      </c>
      <c r="AB158" s="18"/>
      <c r="AC158" s="19"/>
      <c r="AD158" s="19"/>
      <c r="AE158" s="19"/>
    </row>
    <row r="159" ht="16.8" spans="1:34">
      <c r="A159" s="13" t="s">
        <v>39</v>
      </c>
      <c r="B159" s="13" t="s">
        <v>40</v>
      </c>
      <c r="C159" s="13" t="s">
        <v>41</v>
      </c>
      <c r="D159" s="54" t="s">
        <v>368</v>
      </c>
      <c r="E159" s="55"/>
      <c r="F159" s="13" t="s">
        <v>43</v>
      </c>
      <c r="G159" s="13" t="s">
        <v>44</v>
      </c>
      <c r="H159" s="13" t="s">
        <v>45</v>
      </c>
      <c r="I159" s="11" t="s">
        <v>625</v>
      </c>
      <c r="J159" s="54" t="s">
        <v>626</v>
      </c>
      <c r="K159" s="13" t="s">
        <v>628</v>
      </c>
      <c r="L159" s="13"/>
      <c r="M159" s="11" t="s">
        <v>641</v>
      </c>
      <c r="N159" s="54" t="s">
        <v>766</v>
      </c>
      <c r="O159" s="13" t="s">
        <v>767</v>
      </c>
      <c r="P159" s="13">
        <v>15157083323</v>
      </c>
      <c r="Q159" s="54"/>
      <c r="R159" s="54" t="s">
        <v>1632</v>
      </c>
      <c r="S159" s="57"/>
      <c r="T159" s="57" t="s">
        <v>1659</v>
      </c>
      <c r="U159" s="64"/>
      <c r="V159" s="85"/>
      <c r="W159" s="86" t="s">
        <v>780</v>
      </c>
      <c r="X159" s="87">
        <v>46.033</v>
      </c>
      <c r="Y159" s="77">
        <v>0.97</v>
      </c>
      <c r="Z159" s="77">
        <v>0.97</v>
      </c>
      <c r="AA159" s="61" t="s">
        <v>1420</v>
      </c>
      <c r="AB159" s="18"/>
      <c r="AC159" s="19"/>
      <c r="AD159" s="19"/>
      <c r="AE159" s="19"/>
    </row>
    <row r="160" ht="16.8" spans="1:34">
      <c r="A160" s="13" t="s">
        <v>39</v>
      </c>
      <c r="B160" s="13" t="s">
        <v>40</v>
      </c>
      <c r="C160" s="13" t="s">
        <v>41</v>
      </c>
      <c r="D160" s="54" t="s">
        <v>368</v>
      </c>
      <c r="E160" s="55"/>
      <c r="F160" s="13" t="s">
        <v>43</v>
      </c>
      <c r="G160" s="13" t="s">
        <v>44</v>
      </c>
      <c r="H160" s="13" t="s">
        <v>45</v>
      </c>
      <c r="I160" s="11" t="s">
        <v>625</v>
      </c>
      <c r="J160" s="54" t="s">
        <v>626</v>
      </c>
      <c r="K160" s="13" t="s">
        <v>628</v>
      </c>
      <c r="L160" s="13"/>
      <c r="M160" s="11" t="s">
        <v>641</v>
      </c>
      <c r="N160" s="54" t="s">
        <v>766</v>
      </c>
      <c r="O160" s="13" t="s">
        <v>767</v>
      </c>
      <c r="P160" s="13">
        <v>15157083323</v>
      </c>
      <c r="Q160" s="54"/>
      <c r="R160" s="54" t="s">
        <v>1632</v>
      </c>
      <c r="S160" s="57"/>
      <c r="T160" s="57" t="s">
        <v>1660</v>
      </c>
      <c r="U160" s="64"/>
      <c r="V160" s="85"/>
      <c r="W160" s="86" t="s">
        <v>780</v>
      </c>
      <c r="X160" s="87">
        <v>46.033</v>
      </c>
      <c r="Y160" s="77">
        <v>8.79</v>
      </c>
      <c r="Z160" s="77">
        <v>8.01</v>
      </c>
      <c r="AA160" s="61" t="s">
        <v>1420</v>
      </c>
      <c r="AB160" s="18"/>
      <c r="AC160" s="19"/>
      <c r="AD160" s="19"/>
      <c r="AE160" s="19"/>
    </row>
    <row r="161" ht="16.8" spans="1:34">
      <c r="A161" s="13" t="s">
        <v>39</v>
      </c>
      <c r="B161" s="13" t="s">
        <v>40</v>
      </c>
      <c r="C161" s="13" t="s">
        <v>41</v>
      </c>
      <c r="D161" s="54" t="s">
        <v>368</v>
      </c>
      <c r="E161" s="55"/>
      <c r="F161" s="13" t="s">
        <v>43</v>
      </c>
      <c r="G161" s="13" t="s">
        <v>44</v>
      </c>
      <c r="H161" s="13" t="s">
        <v>45</v>
      </c>
      <c r="I161" s="11" t="s">
        <v>625</v>
      </c>
      <c r="J161" s="54" t="s">
        <v>626</v>
      </c>
      <c r="K161" s="13" t="s">
        <v>628</v>
      </c>
      <c r="L161" s="13"/>
      <c r="M161" s="11" t="s">
        <v>641</v>
      </c>
      <c r="N161" s="54" t="s">
        <v>766</v>
      </c>
      <c r="O161" s="13" t="s">
        <v>767</v>
      </c>
      <c r="P161" s="13">
        <v>15157083323</v>
      </c>
      <c r="Q161" s="54"/>
      <c r="R161" s="54" t="s">
        <v>1632</v>
      </c>
      <c r="S161" s="57"/>
      <c r="T161" s="57" t="s">
        <v>1661</v>
      </c>
      <c r="U161" s="64"/>
      <c r="V161" s="85"/>
      <c r="W161" s="86" t="s">
        <v>780</v>
      </c>
      <c r="X161" s="87">
        <v>46.033</v>
      </c>
      <c r="Y161" s="77">
        <v>20.59</v>
      </c>
      <c r="Z161" s="77">
        <v>20.61</v>
      </c>
      <c r="AA161" s="61" t="s">
        <v>1420</v>
      </c>
      <c r="AB161" s="18"/>
      <c r="AC161" s="19"/>
      <c r="AD161" s="19"/>
      <c r="AE161" s="19"/>
    </row>
    <row r="162" ht="16.8" spans="1:34">
      <c r="A162" s="13" t="s">
        <v>39</v>
      </c>
      <c r="B162" s="13" t="s">
        <v>40</v>
      </c>
      <c r="C162" s="13" t="s">
        <v>41</v>
      </c>
      <c r="D162" s="54" t="s">
        <v>368</v>
      </c>
      <c r="E162" s="55"/>
      <c r="F162" s="13" t="s">
        <v>43</v>
      </c>
      <c r="G162" s="13" t="s">
        <v>44</v>
      </c>
      <c r="H162" s="13" t="s">
        <v>45</v>
      </c>
      <c r="I162" s="11" t="s">
        <v>625</v>
      </c>
      <c r="J162" s="54" t="s">
        <v>626</v>
      </c>
      <c r="K162" s="13" t="s">
        <v>628</v>
      </c>
      <c r="L162" s="13"/>
      <c r="M162" s="11" t="s">
        <v>641</v>
      </c>
      <c r="N162" s="54" t="s">
        <v>766</v>
      </c>
      <c r="O162" s="13" t="s">
        <v>767</v>
      </c>
      <c r="P162" s="13">
        <v>15157083323</v>
      </c>
      <c r="Q162" s="54"/>
      <c r="R162" s="54" t="s">
        <v>1632</v>
      </c>
      <c r="S162" s="57"/>
      <c r="T162" s="57" t="s">
        <v>1662</v>
      </c>
      <c r="U162" s="64"/>
      <c r="V162" s="85"/>
      <c r="W162" s="86" t="s">
        <v>780</v>
      </c>
      <c r="X162" s="87">
        <v>46.033</v>
      </c>
      <c r="Y162" s="77">
        <v>4.75</v>
      </c>
      <c r="Z162" s="77">
        <v>4.76</v>
      </c>
      <c r="AA162" s="61" t="s">
        <v>1420</v>
      </c>
      <c r="AB162" s="18"/>
      <c r="AC162" s="19"/>
      <c r="AD162" s="19"/>
      <c r="AE162" s="19"/>
    </row>
    <row r="163" ht="16.8" spans="1:34">
      <c r="A163" s="13" t="s">
        <v>39</v>
      </c>
      <c r="B163" s="13" t="s">
        <v>40</v>
      </c>
      <c r="C163" s="13" t="s">
        <v>41</v>
      </c>
      <c r="D163" s="54" t="s">
        <v>368</v>
      </c>
      <c r="E163" s="55"/>
      <c r="F163" s="13" t="s">
        <v>43</v>
      </c>
      <c r="G163" s="13" t="s">
        <v>44</v>
      </c>
      <c r="H163" s="13" t="s">
        <v>45</v>
      </c>
      <c r="I163" s="11" t="s">
        <v>625</v>
      </c>
      <c r="J163" s="54" t="s">
        <v>626</v>
      </c>
      <c r="K163" s="13" t="s">
        <v>628</v>
      </c>
      <c r="L163" s="13"/>
      <c r="M163" s="11" t="s">
        <v>641</v>
      </c>
      <c r="N163" s="54" t="s">
        <v>766</v>
      </c>
      <c r="O163" s="13" t="s">
        <v>767</v>
      </c>
      <c r="P163" s="13">
        <v>15157083323</v>
      </c>
      <c r="Q163" s="54"/>
      <c r="R163" s="54" t="s">
        <v>1632</v>
      </c>
      <c r="S163" s="57"/>
      <c r="T163" s="57" t="s">
        <v>1663</v>
      </c>
      <c r="U163" s="64"/>
      <c r="V163" s="85"/>
      <c r="W163" s="86" t="s">
        <v>780</v>
      </c>
      <c r="X163" s="87">
        <v>46.033</v>
      </c>
      <c r="Y163" s="77">
        <v>1.58</v>
      </c>
      <c r="Z163" s="77">
        <v>1.58</v>
      </c>
      <c r="AA163" s="61" t="s">
        <v>1420</v>
      </c>
      <c r="AB163" s="18"/>
      <c r="AC163" s="19"/>
      <c r="AD163" s="19"/>
      <c r="AE163" s="19"/>
    </row>
    <row r="164" ht="16.8" spans="1:34">
      <c r="A164" s="13" t="s">
        <v>39</v>
      </c>
      <c r="B164" s="13" t="s">
        <v>40</v>
      </c>
      <c r="C164" s="13" t="s">
        <v>41</v>
      </c>
      <c r="D164" s="54" t="s">
        <v>368</v>
      </c>
      <c r="E164" s="55"/>
      <c r="F164" s="13" t="s">
        <v>43</v>
      </c>
      <c r="G164" s="13" t="s">
        <v>44</v>
      </c>
      <c r="H164" s="13" t="s">
        <v>45</v>
      </c>
      <c r="I164" s="11" t="s">
        <v>625</v>
      </c>
      <c r="J164" s="54" t="s">
        <v>626</v>
      </c>
      <c r="K164" s="13" t="s">
        <v>628</v>
      </c>
      <c r="L164" s="13"/>
      <c r="M164" s="11" t="s">
        <v>641</v>
      </c>
      <c r="N164" s="54" t="s">
        <v>766</v>
      </c>
      <c r="O164" s="13" t="s">
        <v>767</v>
      </c>
      <c r="P164" s="13">
        <v>15157083323</v>
      </c>
      <c r="Q164" s="54"/>
      <c r="R164" s="54" t="s">
        <v>782</v>
      </c>
      <c r="S164" s="57"/>
      <c r="T164" s="57" t="s">
        <v>1664</v>
      </c>
      <c r="U164" s="64"/>
      <c r="V164" s="85"/>
      <c r="W164" s="86" t="s">
        <v>785</v>
      </c>
      <c r="X164" s="88">
        <v>34.57</v>
      </c>
      <c r="Y164" s="77">
        <v>12.69</v>
      </c>
      <c r="Z164" s="77">
        <v>12.68</v>
      </c>
      <c r="AA164" s="61" t="s">
        <v>1420</v>
      </c>
      <c r="AB164" s="18"/>
      <c r="AC164" s="19"/>
      <c r="AD164" s="19"/>
      <c r="AE164" s="19"/>
    </row>
    <row r="165" s="33" customFormat="1" spans="1:34">
      <c r="A165" s="13" t="s">
        <v>39</v>
      </c>
      <c r="B165" s="13" t="s">
        <v>40</v>
      </c>
      <c r="C165" s="13" t="s">
        <v>41</v>
      </c>
      <c r="D165" s="54" t="s">
        <v>368</v>
      </c>
      <c r="E165" s="55"/>
      <c r="F165" s="13" t="s">
        <v>43</v>
      </c>
      <c r="G165" s="13" t="s">
        <v>44</v>
      </c>
      <c r="H165" s="13" t="s">
        <v>45</v>
      </c>
      <c r="I165" s="11" t="s">
        <v>625</v>
      </c>
      <c r="J165" s="54" t="s">
        <v>626</v>
      </c>
      <c r="K165" s="13" t="s">
        <v>628</v>
      </c>
      <c r="L165" s="13"/>
      <c r="M165" s="11" t="s">
        <v>641</v>
      </c>
      <c r="N165" s="54" t="s">
        <v>766</v>
      </c>
      <c r="O165" s="13" t="s">
        <v>767</v>
      </c>
      <c r="P165" s="13">
        <v>15157083323</v>
      </c>
      <c r="Q165" s="54"/>
      <c r="R165" s="54" t="s">
        <v>782</v>
      </c>
      <c r="S165" s="57"/>
      <c r="T165" s="57" t="s">
        <v>1665</v>
      </c>
      <c r="U165" s="13"/>
      <c r="V165" s="85"/>
      <c r="W165" s="86" t="s">
        <v>785</v>
      </c>
      <c r="X165" s="88">
        <v>34.57</v>
      </c>
      <c r="Y165" s="60">
        <v>19.12</v>
      </c>
      <c r="Z165" s="60">
        <v>19.07</v>
      </c>
      <c r="AA165" s="61" t="s">
        <v>1420</v>
      </c>
      <c r="AB165" s="18"/>
      <c r="AC165" s="19"/>
      <c r="AD165" s="19"/>
      <c r="AE165" s="19"/>
      <c r="AF165" s="89"/>
      <c r="AG165" s="89"/>
      <c r="AH165" s="89"/>
    </row>
    <row r="166" s="33" customFormat="1" spans="1:34">
      <c r="A166" s="13" t="s">
        <v>39</v>
      </c>
      <c r="B166" s="13" t="s">
        <v>40</v>
      </c>
      <c r="C166" s="13" t="s">
        <v>41</v>
      </c>
      <c r="D166" s="54" t="s">
        <v>312</v>
      </c>
      <c r="E166" s="55"/>
      <c r="F166" s="13" t="s">
        <v>43</v>
      </c>
      <c r="G166" s="13" t="s">
        <v>44</v>
      </c>
      <c r="H166" s="13" t="s">
        <v>45</v>
      </c>
      <c r="I166" s="56" t="s">
        <v>625</v>
      </c>
      <c r="J166" s="54" t="s">
        <v>626</v>
      </c>
      <c r="K166" s="13" t="s">
        <v>628</v>
      </c>
      <c r="L166" s="13"/>
      <c r="M166" s="56" t="s">
        <v>689</v>
      </c>
      <c r="N166" s="54" t="s">
        <v>844</v>
      </c>
      <c r="O166" s="13" t="s">
        <v>845</v>
      </c>
      <c r="P166" s="13">
        <v>13567050116</v>
      </c>
      <c r="Q166" s="54" t="s">
        <v>692</v>
      </c>
      <c r="R166" s="54" t="s">
        <v>847</v>
      </c>
      <c r="S166" s="57" t="s">
        <v>694</v>
      </c>
      <c r="T166" s="57" t="s">
        <v>1666</v>
      </c>
      <c r="U166" s="13" t="s">
        <v>1667</v>
      </c>
      <c r="V166" s="13" t="s">
        <v>1668</v>
      </c>
      <c r="W166" s="90" t="s">
        <v>850</v>
      </c>
      <c r="X166" s="91">
        <v>182.37</v>
      </c>
      <c r="Y166" s="60">
        <v>27.14</v>
      </c>
      <c r="Z166" s="60">
        <v>27.14</v>
      </c>
      <c r="AA166" s="61" t="s">
        <v>1474</v>
      </c>
      <c r="AB166" s="18"/>
      <c r="AC166" s="19"/>
      <c r="AD166" s="19"/>
      <c r="AE166" s="19"/>
      <c r="AF166" s="38"/>
      <c r="AG166" s="38"/>
      <c r="AH166" s="38"/>
    </row>
    <row r="167" s="33" customFormat="1" spans="1:34">
      <c r="A167" s="13" t="s">
        <v>39</v>
      </c>
      <c r="B167" s="13" t="s">
        <v>40</v>
      </c>
      <c r="C167" s="13" t="s">
        <v>41</v>
      </c>
      <c r="D167" s="54" t="s">
        <v>312</v>
      </c>
      <c r="E167" s="55"/>
      <c r="F167" s="13" t="s">
        <v>43</v>
      </c>
      <c r="G167" s="13" t="s">
        <v>44</v>
      </c>
      <c r="H167" s="13" t="s">
        <v>45</v>
      </c>
      <c r="I167" s="56" t="s">
        <v>625</v>
      </c>
      <c r="J167" s="54" t="s">
        <v>626</v>
      </c>
      <c r="K167" s="13" t="s">
        <v>628</v>
      </c>
      <c r="L167" s="13"/>
      <c r="M167" s="56" t="s">
        <v>689</v>
      </c>
      <c r="N167" s="54" t="s">
        <v>844</v>
      </c>
      <c r="O167" s="13" t="s">
        <v>845</v>
      </c>
      <c r="P167" s="13">
        <v>13567050116</v>
      </c>
      <c r="Q167" s="54" t="s">
        <v>692</v>
      </c>
      <c r="R167" s="54" t="s">
        <v>847</v>
      </c>
      <c r="S167" s="57" t="s">
        <v>697</v>
      </c>
      <c r="T167" s="57" t="s">
        <v>1669</v>
      </c>
      <c r="U167" s="13" t="s">
        <v>1667</v>
      </c>
      <c r="V167" s="13" t="s">
        <v>1668</v>
      </c>
      <c r="W167" s="13" t="s">
        <v>850</v>
      </c>
      <c r="X167" s="91">
        <v>182.37</v>
      </c>
      <c r="Y167"/>
      <c r="Z167"/>
      <c r="AA167" s="61" t="s">
        <v>1474</v>
      </c>
      <c r="AB167" s="18"/>
      <c r="AC167" s="19"/>
      <c r="AD167" s="19"/>
      <c r="AE167" s="19"/>
      <c r="AF167" s="38"/>
      <c r="AG167" s="38"/>
      <c r="AH167" s="38"/>
    </row>
    <row r="168" s="33" customFormat="1" spans="1:34">
      <c r="A168" s="13" t="s">
        <v>39</v>
      </c>
      <c r="B168" s="13" t="s">
        <v>40</v>
      </c>
      <c r="C168" s="13" t="s">
        <v>41</v>
      </c>
      <c r="D168" s="54" t="s">
        <v>312</v>
      </c>
      <c r="E168" s="55"/>
      <c r="F168" s="13" t="s">
        <v>43</v>
      </c>
      <c r="G168" s="13" t="s">
        <v>44</v>
      </c>
      <c r="H168" s="13" t="s">
        <v>45</v>
      </c>
      <c r="I168" s="56" t="s">
        <v>625</v>
      </c>
      <c r="J168" s="54" t="s">
        <v>626</v>
      </c>
      <c r="K168" s="13" t="s">
        <v>628</v>
      </c>
      <c r="L168" s="13"/>
      <c r="M168" s="56" t="s">
        <v>689</v>
      </c>
      <c r="N168" s="54" t="s">
        <v>844</v>
      </c>
      <c r="O168" s="13" t="s">
        <v>845</v>
      </c>
      <c r="P168" s="13">
        <v>13567050116</v>
      </c>
      <c r="Q168" s="54" t="s">
        <v>692</v>
      </c>
      <c r="R168" s="54" t="s">
        <v>847</v>
      </c>
      <c r="S168" s="57" t="s">
        <v>1670</v>
      </c>
      <c r="T168" s="57" t="s">
        <v>1671</v>
      </c>
      <c r="U168" s="13" t="s">
        <v>1667</v>
      </c>
      <c r="V168" s="13" t="s">
        <v>1668</v>
      </c>
      <c r="W168" s="13" t="s">
        <v>850</v>
      </c>
      <c r="X168" s="91">
        <v>182.37</v>
      </c>
      <c r="Y168"/>
      <c r="Z168"/>
      <c r="AA168" s="61" t="s">
        <v>1474</v>
      </c>
      <c r="AB168" s="18"/>
      <c r="AC168" s="19"/>
      <c r="AD168" s="19"/>
      <c r="AE168" s="19"/>
      <c r="AF168" s="38"/>
      <c r="AG168" s="38"/>
      <c r="AH168" s="38"/>
    </row>
    <row r="169" spans="1:34">
      <c r="A169" s="13" t="s">
        <v>39</v>
      </c>
      <c r="B169" s="13" t="s">
        <v>40</v>
      </c>
      <c r="C169" s="13" t="s">
        <v>41</v>
      </c>
      <c r="D169" s="54" t="s">
        <v>312</v>
      </c>
      <c r="E169" s="55"/>
      <c r="F169" s="13" t="s">
        <v>43</v>
      </c>
      <c r="G169" s="13" t="s">
        <v>44</v>
      </c>
      <c r="H169" s="13" t="s">
        <v>45</v>
      </c>
      <c r="I169" s="11" t="s">
        <v>625</v>
      </c>
      <c r="J169" s="54" t="s">
        <v>626</v>
      </c>
      <c r="K169" s="13" t="s">
        <v>628</v>
      </c>
      <c r="L169" s="13"/>
      <c r="M169" s="11" t="s">
        <v>689</v>
      </c>
      <c r="N169" s="54" t="s">
        <v>844</v>
      </c>
      <c r="O169" s="13" t="s">
        <v>845</v>
      </c>
      <c r="P169" s="13">
        <v>13567050116</v>
      </c>
      <c r="Q169" s="54" t="s">
        <v>692</v>
      </c>
      <c r="R169" s="54" t="s">
        <v>847</v>
      </c>
      <c r="S169" s="57" t="s">
        <v>1672</v>
      </c>
      <c r="T169" s="57" t="s">
        <v>1673</v>
      </c>
      <c r="U169" s="64" t="s">
        <v>1667</v>
      </c>
      <c r="V169" s="13" t="s">
        <v>1668</v>
      </c>
      <c r="W169" s="64" t="s">
        <v>853</v>
      </c>
      <c r="X169" s="67">
        <v>30</v>
      </c>
      <c r="Y169" s="60">
        <v>43.02</v>
      </c>
      <c r="Z169" s="60">
        <v>0</v>
      </c>
      <c r="AA169" s="61" t="s">
        <v>1420</v>
      </c>
      <c r="AB169" s="18"/>
      <c r="AC169" s="19"/>
      <c r="AD169" s="19"/>
      <c r="AE169" s="19"/>
    </row>
    <row r="170" s="33" customFormat="1" spans="1:34">
      <c r="A170" s="13" t="s">
        <v>39</v>
      </c>
      <c r="B170" s="13" t="s">
        <v>40</v>
      </c>
      <c r="C170" s="13" t="s">
        <v>41</v>
      </c>
      <c r="D170" s="54" t="s">
        <v>312</v>
      </c>
      <c r="E170" s="55"/>
      <c r="F170" s="13" t="s">
        <v>43</v>
      </c>
      <c r="G170" s="13" t="s">
        <v>44</v>
      </c>
      <c r="H170" s="13" t="s">
        <v>45</v>
      </c>
      <c r="I170" s="56" t="s">
        <v>625</v>
      </c>
      <c r="J170" s="54" t="s">
        <v>626</v>
      </c>
      <c r="K170" s="13" t="s">
        <v>628</v>
      </c>
      <c r="L170" s="13"/>
      <c r="M170" s="56" t="s">
        <v>689</v>
      </c>
      <c r="N170" s="54" t="s">
        <v>844</v>
      </c>
      <c r="O170" s="13" t="s">
        <v>845</v>
      </c>
      <c r="P170" s="13">
        <v>13567050116</v>
      </c>
      <c r="Q170" s="54" t="s">
        <v>699</v>
      </c>
      <c r="R170" s="54" t="s">
        <v>410</v>
      </c>
      <c r="S170" s="57" t="s">
        <v>701</v>
      </c>
      <c r="T170" s="57" t="s">
        <v>410</v>
      </c>
      <c r="U170" s="13" t="s">
        <v>1667</v>
      </c>
      <c r="V170" s="13" t="s">
        <v>1668</v>
      </c>
      <c r="W170" s="81" t="s">
        <v>867</v>
      </c>
      <c r="X170" s="67">
        <v>141</v>
      </c>
      <c r="Y170" s="60">
        <v>134.52</v>
      </c>
      <c r="Z170" s="60">
        <v>134.02</v>
      </c>
      <c r="AA170" s="61" t="s">
        <v>1420</v>
      </c>
      <c r="AB170" s="18"/>
      <c r="AC170" s="19"/>
      <c r="AD170" s="19"/>
      <c r="AE170" s="19"/>
      <c r="AF170" s="38"/>
      <c r="AG170" s="38"/>
      <c r="AH170" s="38"/>
    </row>
    <row r="171" s="33" customFormat="1" spans="1:34">
      <c r="A171" s="13" t="s">
        <v>39</v>
      </c>
      <c r="B171" s="13" t="s">
        <v>40</v>
      </c>
      <c r="C171" s="13" t="s">
        <v>41</v>
      </c>
      <c r="D171" s="54" t="s">
        <v>312</v>
      </c>
      <c r="E171" s="55"/>
      <c r="F171" s="13" t="s">
        <v>43</v>
      </c>
      <c r="G171" s="13" t="s">
        <v>44</v>
      </c>
      <c r="H171" s="13" t="s">
        <v>45</v>
      </c>
      <c r="I171" s="56" t="s">
        <v>625</v>
      </c>
      <c r="J171" s="54" t="s">
        <v>626</v>
      </c>
      <c r="K171" s="13" t="s">
        <v>628</v>
      </c>
      <c r="L171" s="13"/>
      <c r="M171" s="56" t="s">
        <v>689</v>
      </c>
      <c r="N171" s="54" t="s">
        <v>844</v>
      </c>
      <c r="O171" s="13" t="s">
        <v>845</v>
      </c>
      <c r="P171" s="13">
        <v>13567050116</v>
      </c>
      <c r="Q171" s="54" t="s">
        <v>703</v>
      </c>
      <c r="R171" s="54" t="s">
        <v>864</v>
      </c>
      <c r="S171" s="57" t="s">
        <v>705</v>
      </c>
      <c r="T171" s="57" t="s">
        <v>1674</v>
      </c>
      <c r="U171" s="13" t="s">
        <v>1667</v>
      </c>
      <c r="V171" s="13" t="s">
        <v>1668</v>
      </c>
      <c r="W171" s="13" t="s">
        <v>850</v>
      </c>
      <c r="X171" s="91">
        <v>182.37</v>
      </c>
      <c r="Y171" s="60">
        <v>2.4</v>
      </c>
      <c r="Z171" s="60">
        <v>2.4</v>
      </c>
      <c r="AA171" s="61" t="s">
        <v>1474</v>
      </c>
      <c r="AB171" s="18"/>
      <c r="AC171" s="19"/>
      <c r="AD171" s="19"/>
      <c r="AE171" s="19"/>
      <c r="AF171" s="38"/>
      <c r="AG171" s="38"/>
      <c r="AH171" s="38"/>
    </row>
    <row r="172" s="33" customFormat="1" spans="1:34">
      <c r="A172" s="13" t="s">
        <v>39</v>
      </c>
      <c r="B172" s="13" t="s">
        <v>40</v>
      </c>
      <c r="C172" s="13" t="s">
        <v>41</v>
      </c>
      <c r="D172" s="54" t="s">
        <v>312</v>
      </c>
      <c r="E172" s="55"/>
      <c r="F172" s="13" t="s">
        <v>43</v>
      </c>
      <c r="G172" s="13" t="s">
        <v>44</v>
      </c>
      <c r="H172" s="13" t="s">
        <v>45</v>
      </c>
      <c r="I172" s="56" t="s">
        <v>625</v>
      </c>
      <c r="J172" s="54" t="s">
        <v>626</v>
      </c>
      <c r="K172" s="13" t="s">
        <v>628</v>
      </c>
      <c r="L172" s="13"/>
      <c r="M172" s="56" t="s">
        <v>689</v>
      </c>
      <c r="N172" s="54" t="s">
        <v>844</v>
      </c>
      <c r="O172" s="13" t="s">
        <v>845</v>
      </c>
      <c r="P172" s="13">
        <v>13567050116</v>
      </c>
      <c r="Q172" s="54" t="s">
        <v>703</v>
      </c>
      <c r="R172" s="54" t="s">
        <v>864</v>
      </c>
      <c r="S172" s="57" t="s">
        <v>707</v>
      </c>
      <c r="T172" s="57" t="s">
        <v>1675</v>
      </c>
      <c r="U172" s="13" t="s">
        <v>1667</v>
      </c>
      <c r="V172" s="13" t="s">
        <v>1668</v>
      </c>
      <c r="W172" s="13" t="s">
        <v>850</v>
      </c>
      <c r="X172" s="91">
        <v>182.37</v>
      </c>
      <c r="Y172"/>
      <c r="Z172"/>
      <c r="AA172" s="61" t="s">
        <v>1474</v>
      </c>
      <c r="AB172" s="18"/>
      <c r="AC172" s="19"/>
      <c r="AD172" s="19"/>
      <c r="AE172" s="19"/>
      <c r="AF172" s="38"/>
      <c r="AG172" s="38"/>
      <c r="AH172" s="38"/>
    </row>
    <row r="173" spans="1:34">
      <c r="A173" s="13" t="s">
        <v>39</v>
      </c>
      <c r="B173" s="13" t="s">
        <v>40</v>
      </c>
      <c r="C173" s="13" t="s">
        <v>41</v>
      </c>
      <c r="D173" s="54" t="s">
        <v>312</v>
      </c>
      <c r="E173" s="55"/>
      <c r="F173" s="13" t="s">
        <v>43</v>
      </c>
      <c r="G173" s="13" t="s">
        <v>44</v>
      </c>
      <c r="H173" s="13" t="s">
        <v>45</v>
      </c>
      <c r="I173" s="11" t="s">
        <v>625</v>
      </c>
      <c r="J173" s="54" t="s">
        <v>626</v>
      </c>
      <c r="K173" s="13" t="s">
        <v>628</v>
      </c>
      <c r="L173" s="13"/>
      <c r="M173" s="11" t="s">
        <v>689</v>
      </c>
      <c r="N173" s="54" t="s">
        <v>844</v>
      </c>
      <c r="O173" s="13" t="s">
        <v>845</v>
      </c>
      <c r="P173" s="13">
        <v>13567050116</v>
      </c>
      <c r="Q173" s="54" t="s">
        <v>703</v>
      </c>
      <c r="R173" s="54" t="s">
        <v>864</v>
      </c>
      <c r="S173" s="57" t="s">
        <v>710</v>
      </c>
      <c r="T173" s="57" t="s">
        <v>1676</v>
      </c>
      <c r="U173" s="64" t="s">
        <v>1667</v>
      </c>
      <c r="V173" s="13" t="s">
        <v>1668</v>
      </c>
      <c r="W173" s="64" t="s">
        <v>870</v>
      </c>
      <c r="X173" s="67">
        <v>23.3</v>
      </c>
      <c r="Y173" s="60">
        <v>24.01</v>
      </c>
      <c r="Z173" s="60">
        <v>23.42</v>
      </c>
      <c r="AA173" s="61" t="s">
        <v>1420</v>
      </c>
      <c r="AB173" s="18"/>
      <c r="AC173" s="19"/>
      <c r="AD173" s="19"/>
      <c r="AE173" s="19"/>
    </row>
    <row r="174" s="33" customFormat="1" spans="1:34">
      <c r="A174" s="13" t="s">
        <v>39</v>
      </c>
      <c r="B174" s="13" t="s">
        <v>40</v>
      </c>
      <c r="C174" s="13" t="s">
        <v>41</v>
      </c>
      <c r="D174" s="54" t="s">
        <v>312</v>
      </c>
      <c r="E174" s="55"/>
      <c r="F174" s="13" t="s">
        <v>43</v>
      </c>
      <c r="G174" s="13" t="s">
        <v>44</v>
      </c>
      <c r="H174" s="13" t="s">
        <v>45</v>
      </c>
      <c r="I174" s="56" t="s">
        <v>625</v>
      </c>
      <c r="J174" s="54" t="s">
        <v>626</v>
      </c>
      <c r="K174" s="13" t="s">
        <v>628</v>
      </c>
      <c r="L174" s="13"/>
      <c r="M174" s="56" t="s">
        <v>689</v>
      </c>
      <c r="N174" s="54" t="s">
        <v>844</v>
      </c>
      <c r="O174" s="13" t="s">
        <v>845</v>
      </c>
      <c r="P174" s="13">
        <v>13567050116</v>
      </c>
      <c r="Q174" s="54" t="s">
        <v>712</v>
      </c>
      <c r="R174" s="54" t="s">
        <v>880</v>
      </c>
      <c r="S174" s="57" t="s">
        <v>714</v>
      </c>
      <c r="T174" s="57" t="s">
        <v>880</v>
      </c>
      <c r="U174" s="13" t="s">
        <v>1667</v>
      </c>
      <c r="V174" s="13" t="s">
        <v>1668</v>
      </c>
      <c r="W174" s="13" t="s">
        <v>850</v>
      </c>
      <c r="X174" s="91">
        <v>182.37</v>
      </c>
      <c r="Y174" s="60">
        <v>4.27</v>
      </c>
      <c r="Z174" s="60">
        <v>4.27</v>
      </c>
      <c r="AA174" s="61" t="s">
        <v>1474</v>
      </c>
      <c r="AB174" s="18"/>
      <c r="AC174" s="19"/>
      <c r="AD174" s="19"/>
      <c r="AE174" s="19"/>
      <c r="AF174" s="38"/>
      <c r="AG174" s="38"/>
      <c r="AH174" s="38"/>
    </row>
    <row r="175" s="33" customFormat="1" spans="1:34">
      <c r="A175" s="13" t="s">
        <v>39</v>
      </c>
      <c r="B175" s="13" t="s">
        <v>40</v>
      </c>
      <c r="C175" s="13" t="s">
        <v>41</v>
      </c>
      <c r="D175" s="54" t="s">
        <v>312</v>
      </c>
      <c r="E175" s="55"/>
      <c r="F175" s="13" t="s">
        <v>43</v>
      </c>
      <c r="G175" s="13" t="s">
        <v>44</v>
      </c>
      <c r="H175" s="13" t="s">
        <v>45</v>
      </c>
      <c r="I175" s="56" t="s">
        <v>625</v>
      </c>
      <c r="J175" s="54" t="s">
        <v>626</v>
      </c>
      <c r="K175" s="13" t="s">
        <v>628</v>
      </c>
      <c r="L175" s="13"/>
      <c r="M175" s="56" t="s">
        <v>689</v>
      </c>
      <c r="N175" s="54" t="s">
        <v>844</v>
      </c>
      <c r="O175" s="13" t="s">
        <v>845</v>
      </c>
      <c r="P175" s="13">
        <v>13567050116</v>
      </c>
      <c r="Q175" s="54" t="s">
        <v>716</v>
      </c>
      <c r="R175" s="54" t="s">
        <v>886</v>
      </c>
      <c r="S175" s="57" t="s">
        <v>718</v>
      </c>
      <c r="T175" s="57" t="s">
        <v>1677</v>
      </c>
      <c r="U175" s="13" t="s">
        <v>1667</v>
      </c>
      <c r="V175" s="13" t="s">
        <v>1668</v>
      </c>
      <c r="W175" s="82" t="s">
        <v>1678</v>
      </c>
      <c r="X175" s="67"/>
      <c r="Y175" s="60">
        <v>11.28</v>
      </c>
      <c r="Z175" s="60">
        <v>11.29</v>
      </c>
      <c r="AA175" s="61" t="s">
        <v>1474</v>
      </c>
      <c r="AB175" s="18"/>
      <c r="AC175" s="19"/>
      <c r="AD175" s="19"/>
      <c r="AE175" s="19"/>
      <c r="AF175" s="38"/>
      <c r="AG175" s="38"/>
      <c r="AH175" s="38"/>
    </row>
    <row r="176" s="33" customFormat="1" spans="1:34">
      <c r="A176" s="13" t="s">
        <v>39</v>
      </c>
      <c r="B176" s="13" t="s">
        <v>40</v>
      </c>
      <c r="C176" s="13" t="s">
        <v>41</v>
      </c>
      <c r="D176" s="54" t="s">
        <v>312</v>
      </c>
      <c r="E176" s="55"/>
      <c r="F176" s="13" t="s">
        <v>43</v>
      </c>
      <c r="G176" s="13" t="s">
        <v>44</v>
      </c>
      <c r="H176" s="13" t="s">
        <v>45</v>
      </c>
      <c r="I176" s="56" t="s">
        <v>625</v>
      </c>
      <c r="J176" s="54" t="s">
        <v>626</v>
      </c>
      <c r="K176" s="13" t="s">
        <v>628</v>
      </c>
      <c r="L176" s="13"/>
      <c r="M176" s="56" t="s">
        <v>689</v>
      </c>
      <c r="N176" s="54" t="s">
        <v>844</v>
      </c>
      <c r="O176" s="13" t="s">
        <v>845</v>
      </c>
      <c r="P176" s="13">
        <v>13567050116</v>
      </c>
      <c r="Q176" s="54" t="s">
        <v>721</v>
      </c>
      <c r="R176" s="54" t="s">
        <v>1679</v>
      </c>
      <c r="S176" s="57" t="s">
        <v>723</v>
      </c>
      <c r="T176" s="57" t="s">
        <v>1679</v>
      </c>
      <c r="U176" s="13" t="s">
        <v>1667</v>
      </c>
      <c r="V176" s="13" t="s">
        <v>1668</v>
      </c>
      <c r="W176" s="92" t="s">
        <v>858</v>
      </c>
      <c r="X176" s="93">
        <v>187.6</v>
      </c>
      <c r="Y176" s="65"/>
      <c r="Z176" s="65"/>
      <c r="AA176" s="61" t="s">
        <v>1474</v>
      </c>
      <c r="AB176" s="18"/>
      <c r="AC176" s="19"/>
      <c r="AD176" s="19"/>
      <c r="AE176" s="19"/>
      <c r="AF176" s="38"/>
      <c r="AG176" s="38"/>
      <c r="AH176" s="38"/>
    </row>
    <row r="177" s="33" customFormat="1" spans="1:34">
      <c r="A177" s="13" t="s">
        <v>39</v>
      </c>
      <c r="B177" s="13" t="s">
        <v>40</v>
      </c>
      <c r="C177" s="13" t="s">
        <v>41</v>
      </c>
      <c r="D177" s="54" t="s">
        <v>312</v>
      </c>
      <c r="E177" s="55"/>
      <c r="F177" s="13" t="s">
        <v>43</v>
      </c>
      <c r="G177" s="13" t="s">
        <v>44</v>
      </c>
      <c r="H177" s="13" t="s">
        <v>45</v>
      </c>
      <c r="I177" s="56" t="s">
        <v>625</v>
      </c>
      <c r="J177" s="54" t="s">
        <v>626</v>
      </c>
      <c r="K177" s="13" t="s">
        <v>628</v>
      </c>
      <c r="L177" s="13"/>
      <c r="M177" s="56" t="s">
        <v>689</v>
      </c>
      <c r="N177" s="54" t="s">
        <v>844</v>
      </c>
      <c r="O177" s="13" t="s">
        <v>845</v>
      </c>
      <c r="P177" s="13">
        <v>13567050116</v>
      </c>
      <c r="Q177" s="54" t="s">
        <v>725</v>
      </c>
      <c r="R177" s="54" t="s">
        <v>860</v>
      </c>
      <c r="S177" s="57" t="s">
        <v>727</v>
      </c>
      <c r="T177" s="57" t="s">
        <v>860</v>
      </c>
      <c r="U177" s="13" t="s">
        <v>1667</v>
      </c>
      <c r="V177" s="13" t="s">
        <v>1668</v>
      </c>
      <c r="W177" s="13" t="s">
        <v>858</v>
      </c>
      <c r="X177" s="59">
        <v>187.6</v>
      </c>
      <c r="Y177" s="60">
        <v>87.75</v>
      </c>
      <c r="Z177" s="60">
        <v>87.75</v>
      </c>
      <c r="AA177" s="61" t="s">
        <v>1474</v>
      </c>
      <c r="AB177" s="18"/>
      <c r="AC177" s="19"/>
      <c r="AD177" s="19"/>
      <c r="AE177" s="19"/>
      <c r="AF177" s="38"/>
      <c r="AG177" s="38"/>
      <c r="AH177" s="38"/>
    </row>
    <row r="178" s="33" customFormat="1" spans="1:34">
      <c r="A178" s="13" t="s">
        <v>39</v>
      </c>
      <c r="B178" s="13" t="s">
        <v>40</v>
      </c>
      <c r="C178" s="13" t="s">
        <v>41</v>
      </c>
      <c r="D178" s="54" t="s">
        <v>312</v>
      </c>
      <c r="E178" s="55"/>
      <c r="F178" s="13" t="s">
        <v>43</v>
      </c>
      <c r="G178" s="13" t="s">
        <v>44</v>
      </c>
      <c r="H178" s="13" t="s">
        <v>45</v>
      </c>
      <c r="I178" s="56" t="s">
        <v>625</v>
      </c>
      <c r="J178" s="54" t="s">
        <v>626</v>
      </c>
      <c r="K178" s="13" t="s">
        <v>628</v>
      </c>
      <c r="L178" s="13"/>
      <c r="M178" s="56" t="s">
        <v>689</v>
      </c>
      <c r="N178" s="54" t="s">
        <v>844</v>
      </c>
      <c r="O178" s="13" t="s">
        <v>845</v>
      </c>
      <c r="P178" s="13">
        <v>13567050116</v>
      </c>
      <c r="Q178" s="54" t="s">
        <v>1680</v>
      </c>
      <c r="R178" s="54" t="s">
        <v>892</v>
      </c>
      <c r="S178" s="57" t="s">
        <v>1681</v>
      </c>
      <c r="T178" s="57" t="s">
        <v>892</v>
      </c>
      <c r="U178" s="13" t="s">
        <v>1667</v>
      </c>
      <c r="V178" s="13" t="s">
        <v>1668</v>
      </c>
      <c r="W178" s="13" t="s">
        <v>858</v>
      </c>
      <c r="X178" s="59">
        <v>187.6</v>
      </c>
      <c r="Y178" s="60">
        <v>9.26</v>
      </c>
      <c r="Z178" s="60">
        <v>9.26</v>
      </c>
      <c r="AA178" s="61" t="s">
        <v>1474</v>
      </c>
      <c r="AB178" s="18"/>
      <c r="AC178" s="19"/>
      <c r="AD178" s="19"/>
      <c r="AE178" s="19"/>
      <c r="AF178" s="38"/>
      <c r="AG178" s="38"/>
      <c r="AH178" s="38"/>
    </row>
    <row r="179" s="33" customFormat="1" spans="1:34">
      <c r="A179" s="13" t="s">
        <v>39</v>
      </c>
      <c r="B179" s="13" t="s">
        <v>40</v>
      </c>
      <c r="C179" s="13" t="s">
        <v>41</v>
      </c>
      <c r="D179" s="54" t="s">
        <v>312</v>
      </c>
      <c r="E179" s="55"/>
      <c r="F179" s="13" t="s">
        <v>43</v>
      </c>
      <c r="G179" s="13" t="s">
        <v>44</v>
      </c>
      <c r="H179" s="13" t="s">
        <v>45</v>
      </c>
      <c r="I179" s="56" t="s">
        <v>625</v>
      </c>
      <c r="J179" s="54" t="s">
        <v>626</v>
      </c>
      <c r="K179" s="13" t="s">
        <v>628</v>
      </c>
      <c r="L179" s="13"/>
      <c r="M179" s="56" t="s">
        <v>689</v>
      </c>
      <c r="N179" s="54" t="s">
        <v>844</v>
      </c>
      <c r="O179" s="13" t="s">
        <v>845</v>
      </c>
      <c r="P179" s="13">
        <v>13567050116</v>
      </c>
      <c r="Q179" s="54" t="s">
        <v>1682</v>
      </c>
      <c r="R179" s="54" t="s">
        <v>855</v>
      </c>
      <c r="S179" s="57" t="s">
        <v>1683</v>
      </c>
      <c r="T179" s="57" t="s">
        <v>855</v>
      </c>
      <c r="U179" s="13" t="s">
        <v>1667</v>
      </c>
      <c r="V179" s="13" t="s">
        <v>1668</v>
      </c>
      <c r="W179" s="13" t="s">
        <v>858</v>
      </c>
      <c r="X179" s="59">
        <v>187.6</v>
      </c>
      <c r="Y179" s="60">
        <v>35.35</v>
      </c>
      <c r="Z179" s="60">
        <v>35.36</v>
      </c>
      <c r="AA179" s="61" t="s">
        <v>1474</v>
      </c>
      <c r="AB179" s="18"/>
      <c r="AC179" s="19"/>
      <c r="AD179" s="19"/>
      <c r="AE179" s="19"/>
      <c r="AF179" s="38"/>
      <c r="AG179" s="38"/>
      <c r="AH179" s="38"/>
    </row>
    <row r="180" spans="1:34">
      <c r="A180" s="13" t="s">
        <v>39</v>
      </c>
      <c r="B180" s="13" t="s">
        <v>40</v>
      </c>
      <c r="C180" s="13" t="s">
        <v>41</v>
      </c>
      <c r="D180" s="54" t="s">
        <v>312</v>
      </c>
      <c r="E180" s="55"/>
      <c r="F180" s="13" t="s">
        <v>43</v>
      </c>
      <c r="G180" s="13" t="s">
        <v>44</v>
      </c>
      <c r="H180" s="13" t="s">
        <v>45</v>
      </c>
      <c r="I180" s="56" t="s">
        <v>625</v>
      </c>
      <c r="J180" s="54" t="s">
        <v>626</v>
      </c>
      <c r="K180" s="13" t="s">
        <v>628</v>
      </c>
      <c r="L180" s="13"/>
      <c r="M180" s="56" t="s">
        <v>689</v>
      </c>
      <c r="N180" s="54" t="s">
        <v>844</v>
      </c>
      <c r="O180" s="13" t="s">
        <v>845</v>
      </c>
      <c r="P180" s="13">
        <v>13567050116</v>
      </c>
      <c r="Q180" s="54"/>
      <c r="R180" s="76"/>
      <c r="S180" s="69"/>
      <c r="T180" s="69" t="s">
        <v>1684</v>
      </c>
      <c r="U180" s="64"/>
      <c r="V180" s="13"/>
      <c r="W180" s="63" t="s">
        <v>878</v>
      </c>
      <c r="X180" s="67">
        <v>2.07</v>
      </c>
      <c r="Y180" s="60">
        <v>2.12</v>
      </c>
      <c r="Z180" s="60">
        <v>2.12</v>
      </c>
      <c r="AA180" s="61"/>
      <c r="AB180" s="18"/>
      <c r="AC180" s="19"/>
      <c r="AD180" s="19"/>
      <c r="AE180" s="19"/>
    </row>
    <row r="181" spans="1:34">
      <c r="A181" s="13" t="s">
        <v>39</v>
      </c>
      <c r="B181" s="13" t="s">
        <v>40</v>
      </c>
      <c r="C181" s="13" t="s">
        <v>41</v>
      </c>
      <c r="D181" s="54" t="s">
        <v>312</v>
      </c>
      <c r="E181" s="55"/>
      <c r="F181" s="13" t="s">
        <v>43</v>
      </c>
      <c r="G181" s="13" t="s">
        <v>44</v>
      </c>
      <c r="H181" s="13" t="s">
        <v>45</v>
      </c>
      <c r="I181" s="56" t="s">
        <v>625</v>
      </c>
      <c r="J181" s="54" t="s">
        <v>626</v>
      </c>
      <c r="K181" s="13" t="s">
        <v>628</v>
      </c>
      <c r="L181" s="13"/>
      <c r="M181" s="56" t="s">
        <v>689</v>
      </c>
      <c r="N181" s="54" t="s">
        <v>844</v>
      </c>
      <c r="O181" s="13" t="s">
        <v>845</v>
      </c>
      <c r="P181" s="13">
        <v>13567050116</v>
      </c>
      <c r="Q181" s="54"/>
      <c r="R181" s="76"/>
      <c r="S181" s="69"/>
      <c r="T181" s="69"/>
      <c r="U181" s="64"/>
      <c r="V181" s="13"/>
      <c r="W181" s="63" t="s">
        <v>867</v>
      </c>
      <c r="X181" s="67">
        <v>141</v>
      </c>
      <c r="Y181" s="60">
        <v>115.98</v>
      </c>
      <c r="Z181" s="60">
        <v>115.76</v>
      </c>
      <c r="AA181" s="61" t="s">
        <v>1474</v>
      </c>
      <c r="AB181" s="18"/>
      <c r="AC181" s="19"/>
      <c r="AD181" s="19"/>
      <c r="AE181" s="19"/>
    </row>
    <row r="182" spans="1:34">
      <c r="A182" s="13" t="s">
        <v>39</v>
      </c>
      <c r="B182" s="13" t="s">
        <v>40</v>
      </c>
      <c r="C182" s="13" t="s">
        <v>41</v>
      </c>
      <c r="D182" s="54" t="s">
        <v>624</v>
      </c>
      <c r="E182" s="55"/>
      <c r="F182" s="13" t="s">
        <v>43</v>
      </c>
      <c r="G182" s="13" t="s">
        <v>44</v>
      </c>
      <c r="H182" s="13" t="s">
        <v>45</v>
      </c>
      <c r="I182" s="11" t="s">
        <v>625</v>
      </c>
      <c r="J182" s="54" t="s">
        <v>626</v>
      </c>
      <c r="K182" s="13" t="s">
        <v>628</v>
      </c>
      <c r="L182" s="13"/>
      <c r="M182" s="11" t="s">
        <v>731</v>
      </c>
      <c r="N182" s="54" t="s">
        <v>690</v>
      </c>
      <c r="O182" s="13" t="s">
        <v>691</v>
      </c>
      <c r="P182" s="13">
        <v>13567076781</v>
      </c>
      <c r="Q182" s="54" t="s">
        <v>734</v>
      </c>
      <c r="R182" s="54" t="s">
        <v>704</v>
      </c>
      <c r="S182" s="57" t="s">
        <v>736</v>
      </c>
      <c r="T182" s="57" t="s">
        <v>1685</v>
      </c>
      <c r="U182" s="64" t="s">
        <v>1686</v>
      </c>
      <c r="V182" s="13" t="s">
        <v>1585</v>
      </c>
      <c r="W182" s="64" t="s">
        <v>709</v>
      </c>
      <c r="X182" s="67">
        <v>98.48</v>
      </c>
      <c r="Y182" s="60">
        <v>97.43</v>
      </c>
      <c r="Z182" s="60">
        <v>97.43</v>
      </c>
      <c r="AA182" s="61" t="s">
        <v>1420</v>
      </c>
      <c r="AB182" s="18"/>
      <c r="AC182" s="19"/>
      <c r="AD182" s="19"/>
      <c r="AE182" s="19"/>
    </row>
    <row r="183" s="33" customFormat="1" spans="1:34">
      <c r="A183" s="13" t="s">
        <v>39</v>
      </c>
      <c r="B183" s="13" t="s">
        <v>40</v>
      </c>
      <c r="C183" s="13" t="s">
        <v>41</v>
      </c>
      <c r="D183" s="54" t="s">
        <v>624</v>
      </c>
      <c r="E183" s="55"/>
      <c r="F183" s="13" t="s">
        <v>43</v>
      </c>
      <c r="G183" s="13" t="s">
        <v>44</v>
      </c>
      <c r="H183" s="13" t="s">
        <v>45</v>
      </c>
      <c r="I183" s="56" t="s">
        <v>625</v>
      </c>
      <c r="J183" s="54" t="s">
        <v>626</v>
      </c>
      <c r="K183" s="13" t="s">
        <v>628</v>
      </c>
      <c r="L183" s="13"/>
      <c r="M183" s="56" t="s">
        <v>731</v>
      </c>
      <c r="N183" s="54" t="s">
        <v>690</v>
      </c>
      <c r="O183" s="13" t="s">
        <v>691</v>
      </c>
      <c r="P183" s="13">
        <v>13567076781</v>
      </c>
      <c r="Q183" s="54" t="s">
        <v>734</v>
      </c>
      <c r="R183" s="54" t="s">
        <v>704</v>
      </c>
      <c r="S183" s="57" t="s">
        <v>1687</v>
      </c>
      <c r="T183" s="57" t="s">
        <v>1688</v>
      </c>
      <c r="U183" s="13" t="s">
        <v>1686</v>
      </c>
      <c r="V183" s="13" t="s">
        <v>1585</v>
      </c>
      <c r="W183" s="82" t="s">
        <v>1689</v>
      </c>
      <c r="X183" s="79">
        <v>251.4</v>
      </c>
      <c r="Y183" s="60">
        <v>108.72</v>
      </c>
      <c r="Z183" s="60">
        <v>106.17</v>
      </c>
      <c r="AA183" s="61" t="s">
        <v>1474</v>
      </c>
      <c r="AB183" s="18"/>
      <c r="AC183" s="19"/>
      <c r="AD183" s="19"/>
      <c r="AE183" s="19"/>
      <c r="AF183" s="38"/>
      <c r="AG183" s="38"/>
      <c r="AH183" s="38"/>
    </row>
    <row r="184" s="33" customFormat="1" spans="1:34">
      <c r="A184" s="13" t="s">
        <v>39</v>
      </c>
      <c r="B184" s="13" t="s">
        <v>40</v>
      </c>
      <c r="C184" s="13" t="s">
        <v>41</v>
      </c>
      <c r="D184" s="54" t="s">
        <v>624</v>
      </c>
      <c r="E184" s="55"/>
      <c r="F184" s="13" t="s">
        <v>43</v>
      </c>
      <c r="G184" s="13" t="s">
        <v>44</v>
      </c>
      <c r="H184" s="13" t="s">
        <v>45</v>
      </c>
      <c r="I184" s="56" t="s">
        <v>625</v>
      </c>
      <c r="J184" s="54" t="s">
        <v>626</v>
      </c>
      <c r="K184" s="13" t="s">
        <v>628</v>
      </c>
      <c r="L184" s="13"/>
      <c r="M184" s="56" t="s">
        <v>731</v>
      </c>
      <c r="N184" s="54" t="s">
        <v>690</v>
      </c>
      <c r="O184" s="13" t="s">
        <v>691</v>
      </c>
      <c r="P184" s="13">
        <v>13567076781</v>
      </c>
      <c r="Q184" s="54" t="s">
        <v>739</v>
      </c>
      <c r="R184" s="54" t="s">
        <v>693</v>
      </c>
      <c r="S184" s="57" t="s">
        <v>741</v>
      </c>
      <c r="T184" s="57" t="s">
        <v>1690</v>
      </c>
      <c r="U184" s="13" t="s">
        <v>1686</v>
      </c>
      <c r="V184" s="13" t="s">
        <v>1585</v>
      </c>
      <c r="W184" s="82" t="s">
        <v>1689</v>
      </c>
      <c r="X184" s="79">
        <v>251.4</v>
      </c>
      <c r="Y184" s="60">
        <v>127.41</v>
      </c>
      <c r="Z184" s="60">
        <v>125.28</v>
      </c>
      <c r="AA184" s="61" t="s">
        <v>1474</v>
      </c>
      <c r="AB184" s="18"/>
      <c r="AC184" s="19"/>
      <c r="AD184" s="19"/>
      <c r="AE184" s="19"/>
      <c r="AF184" s="38"/>
      <c r="AG184" s="38"/>
      <c r="AH184" s="38"/>
    </row>
    <row r="185" s="33" customFormat="1" spans="1:34">
      <c r="A185" s="13" t="s">
        <v>39</v>
      </c>
      <c r="B185" s="13" t="s">
        <v>40</v>
      </c>
      <c r="C185" s="13" t="s">
        <v>41</v>
      </c>
      <c r="D185" s="54" t="s">
        <v>624</v>
      </c>
      <c r="E185" s="55"/>
      <c r="F185" s="13" t="s">
        <v>43</v>
      </c>
      <c r="G185" s="13" t="s">
        <v>44</v>
      </c>
      <c r="H185" s="13" t="s">
        <v>45</v>
      </c>
      <c r="I185" s="56" t="s">
        <v>625</v>
      </c>
      <c r="J185" s="54" t="s">
        <v>626</v>
      </c>
      <c r="K185" s="13" t="s">
        <v>628</v>
      </c>
      <c r="L185" s="13"/>
      <c r="M185" s="56" t="s">
        <v>731</v>
      </c>
      <c r="N185" s="54" t="s">
        <v>690</v>
      </c>
      <c r="O185" s="13" t="s">
        <v>691</v>
      </c>
      <c r="P185" s="13">
        <v>13567076781</v>
      </c>
      <c r="Q185" s="54" t="s">
        <v>739</v>
      </c>
      <c r="R185" s="54" t="s">
        <v>693</v>
      </c>
      <c r="S185" s="57" t="s">
        <v>1691</v>
      </c>
      <c r="T185" s="57" t="s">
        <v>1692</v>
      </c>
      <c r="U185" s="13" t="s">
        <v>1686</v>
      </c>
      <c r="V185" s="13" t="s">
        <v>1585</v>
      </c>
      <c r="W185" s="82" t="s">
        <v>1689</v>
      </c>
      <c r="X185" s="79">
        <v>251.4</v>
      </c>
      <c r="Y185"/>
      <c r="Z185"/>
      <c r="AA185" s="61" t="s">
        <v>1474</v>
      </c>
      <c r="AB185" s="18"/>
      <c r="AC185" s="19"/>
      <c r="AD185" s="19"/>
      <c r="AE185" s="19"/>
      <c r="AF185" s="38"/>
      <c r="AG185" s="38"/>
      <c r="AH185" s="38"/>
    </row>
    <row r="186" s="33" customFormat="1" spans="1:34">
      <c r="A186" s="13" t="s">
        <v>39</v>
      </c>
      <c r="B186" s="13" t="s">
        <v>40</v>
      </c>
      <c r="C186" s="13" t="s">
        <v>41</v>
      </c>
      <c r="D186" s="54" t="s">
        <v>624</v>
      </c>
      <c r="E186" s="55"/>
      <c r="F186" s="13" t="s">
        <v>43</v>
      </c>
      <c r="G186" s="13" t="s">
        <v>44</v>
      </c>
      <c r="H186" s="13" t="s">
        <v>45</v>
      </c>
      <c r="I186" s="56" t="s">
        <v>625</v>
      </c>
      <c r="J186" s="54" t="s">
        <v>626</v>
      </c>
      <c r="K186" s="13" t="s">
        <v>628</v>
      </c>
      <c r="L186" s="13"/>
      <c r="M186" s="56" t="s">
        <v>731</v>
      </c>
      <c r="N186" s="54" t="s">
        <v>690</v>
      </c>
      <c r="O186" s="13" t="s">
        <v>691</v>
      </c>
      <c r="P186" s="13">
        <v>13567076781</v>
      </c>
      <c r="Q186" s="54" t="s">
        <v>744</v>
      </c>
      <c r="R186" s="54" t="s">
        <v>700</v>
      </c>
      <c r="S186" s="57" t="s">
        <v>746</v>
      </c>
      <c r="T186" s="57" t="s">
        <v>700</v>
      </c>
      <c r="U186" s="13" t="s">
        <v>1686</v>
      </c>
      <c r="V186" s="13" t="s">
        <v>1585</v>
      </c>
      <c r="W186" s="13" t="s">
        <v>355</v>
      </c>
      <c r="X186" s="79">
        <v>2392.78</v>
      </c>
      <c r="Y186" s="60">
        <v>42.49</v>
      </c>
      <c r="Z186" s="60">
        <v>42.49</v>
      </c>
      <c r="AA186" s="61" t="s">
        <v>1420</v>
      </c>
      <c r="AB186" s="18"/>
      <c r="AC186" s="19"/>
      <c r="AD186" s="19"/>
      <c r="AE186" s="19"/>
      <c r="AF186" s="38"/>
      <c r="AG186" s="38"/>
      <c r="AH186" s="38"/>
    </row>
    <row r="187" s="33" customFormat="1" spans="1:34">
      <c r="A187" s="13" t="s">
        <v>39</v>
      </c>
      <c r="B187" s="13" t="s">
        <v>40</v>
      </c>
      <c r="C187" s="13" t="s">
        <v>41</v>
      </c>
      <c r="D187" s="54" t="s">
        <v>624</v>
      </c>
      <c r="E187" s="55"/>
      <c r="F187" s="13" t="s">
        <v>43</v>
      </c>
      <c r="G187" s="13" t="s">
        <v>44</v>
      </c>
      <c r="H187" s="13" t="s">
        <v>45</v>
      </c>
      <c r="I187" s="56" t="s">
        <v>625</v>
      </c>
      <c r="J187" s="54" t="s">
        <v>626</v>
      </c>
      <c r="K187" s="13" t="s">
        <v>628</v>
      </c>
      <c r="L187" s="13"/>
      <c r="M187" s="56" t="s">
        <v>731</v>
      </c>
      <c r="N187" s="54" t="s">
        <v>690</v>
      </c>
      <c r="O187" s="13" t="s">
        <v>691</v>
      </c>
      <c r="P187" s="13">
        <v>13567076781</v>
      </c>
      <c r="Q187" s="54" t="s">
        <v>758</v>
      </c>
      <c r="R187" s="54" t="s">
        <v>1693</v>
      </c>
      <c r="S187" s="57" t="s">
        <v>759</v>
      </c>
      <c r="T187" s="57" t="s">
        <v>1693</v>
      </c>
      <c r="U187" s="13" t="s">
        <v>1686</v>
      </c>
      <c r="V187" s="13" t="s">
        <v>1585</v>
      </c>
      <c r="W187" s="13" t="s">
        <v>355</v>
      </c>
      <c r="X187" s="79">
        <v>2392.78</v>
      </c>
      <c r="Y187" s="60">
        <v>72.95</v>
      </c>
      <c r="Z187" s="60">
        <v>69.17</v>
      </c>
      <c r="AA187" s="61" t="s">
        <v>1420</v>
      </c>
      <c r="AB187" s="18"/>
      <c r="AC187" s="19"/>
      <c r="AD187" s="19"/>
      <c r="AE187" s="19"/>
      <c r="AF187" s="38"/>
      <c r="AG187" s="38"/>
      <c r="AH187" s="38"/>
    </row>
    <row r="188" s="33" customFormat="1" spans="1:34">
      <c r="A188" s="13" t="s">
        <v>39</v>
      </c>
      <c r="B188" s="13" t="s">
        <v>40</v>
      </c>
      <c r="C188" s="13" t="s">
        <v>41</v>
      </c>
      <c r="D188" s="54" t="s">
        <v>624</v>
      </c>
      <c r="E188" s="55"/>
      <c r="F188" s="13" t="s">
        <v>43</v>
      </c>
      <c r="G188" s="13" t="s">
        <v>44</v>
      </c>
      <c r="H188" s="13" t="s">
        <v>45</v>
      </c>
      <c r="I188" s="56" t="s">
        <v>625</v>
      </c>
      <c r="J188" s="54" t="s">
        <v>626</v>
      </c>
      <c r="K188" s="13" t="s">
        <v>628</v>
      </c>
      <c r="L188" s="13"/>
      <c r="M188" s="56" t="s">
        <v>731</v>
      </c>
      <c r="N188" s="54" t="s">
        <v>690</v>
      </c>
      <c r="O188" s="13" t="s">
        <v>691</v>
      </c>
      <c r="P188" s="13">
        <v>13567076781</v>
      </c>
      <c r="Q188" s="54" t="s">
        <v>760</v>
      </c>
      <c r="R188" s="54" t="s">
        <v>713</v>
      </c>
      <c r="S188" s="57" t="s">
        <v>762</v>
      </c>
      <c r="T188" s="57" t="s">
        <v>713</v>
      </c>
      <c r="U188" s="13" t="s">
        <v>1686</v>
      </c>
      <c r="V188" s="13" t="s">
        <v>1585</v>
      </c>
      <c r="W188" s="13" t="s">
        <v>355</v>
      </c>
      <c r="X188" s="79">
        <v>2392.78</v>
      </c>
      <c r="Y188" s="60">
        <v>114.35</v>
      </c>
      <c r="Z188" s="60">
        <v>112.22</v>
      </c>
      <c r="AA188" s="61" t="s">
        <v>1420</v>
      </c>
      <c r="AB188" s="18"/>
      <c r="AC188" s="19"/>
      <c r="AD188" s="19"/>
      <c r="AE188" s="19"/>
      <c r="AF188" s="38"/>
      <c r="AG188" s="38"/>
      <c r="AH188" s="38"/>
    </row>
    <row r="189" s="33" customFormat="1" spans="1:34">
      <c r="A189" s="13" t="s">
        <v>39</v>
      </c>
      <c r="B189" s="13" t="s">
        <v>40</v>
      </c>
      <c r="C189" s="13" t="s">
        <v>41</v>
      </c>
      <c r="D189" s="54" t="s">
        <v>624</v>
      </c>
      <c r="E189" s="55"/>
      <c r="F189" s="13" t="s">
        <v>43</v>
      </c>
      <c r="G189" s="13" t="s">
        <v>44</v>
      </c>
      <c r="H189" s="13" t="s">
        <v>45</v>
      </c>
      <c r="I189" s="56" t="s">
        <v>625</v>
      </c>
      <c r="J189" s="54" t="s">
        <v>626</v>
      </c>
      <c r="K189" s="13" t="s">
        <v>628</v>
      </c>
      <c r="L189" s="13"/>
      <c r="M189" s="56" t="s">
        <v>731</v>
      </c>
      <c r="N189" s="54" t="s">
        <v>690</v>
      </c>
      <c r="O189" s="13" t="s">
        <v>691</v>
      </c>
      <c r="P189" s="13">
        <v>13567076781</v>
      </c>
      <c r="Q189" s="54" t="s">
        <v>1694</v>
      </c>
      <c r="R189" s="54" t="s">
        <v>726</v>
      </c>
      <c r="S189" s="57" t="s">
        <v>1695</v>
      </c>
      <c r="T189" s="57" t="s">
        <v>1696</v>
      </c>
      <c r="U189" s="13" t="s">
        <v>1686</v>
      </c>
      <c r="V189" s="13" t="s">
        <v>1585</v>
      </c>
      <c r="W189" s="81" t="s">
        <v>648</v>
      </c>
      <c r="X189" s="79">
        <v>62.01</v>
      </c>
      <c r="Y189" s="60">
        <v>6.38</v>
      </c>
      <c r="Z189" s="60">
        <v>6.38</v>
      </c>
      <c r="AA189" s="61" t="s">
        <v>1420</v>
      </c>
      <c r="AB189" s="18"/>
      <c r="AC189" s="19"/>
      <c r="AD189" s="19"/>
      <c r="AE189" s="19"/>
      <c r="AF189" s="38"/>
      <c r="AG189" s="38"/>
      <c r="AH189" s="38"/>
    </row>
    <row r="190" s="33" customFormat="1" spans="1:34">
      <c r="A190" s="13" t="s">
        <v>39</v>
      </c>
      <c r="B190" s="13" t="s">
        <v>40</v>
      </c>
      <c r="C190" s="13" t="s">
        <v>41</v>
      </c>
      <c r="D190" s="54" t="s">
        <v>624</v>
      </c>
      <c r="E190" s="55"/>
      <c r="F190" s="13" t="s">
        <v>43</v>
      </c>
      <c r="G190" s="13" t="s">
        <v>44</v>
      </c>
      <c r="H190" s="13" t="s">
        <v>45</v>
      </c>
      <c r="I190" s="56" t="s">
        <v>625</v>
      </c>
      <c r="J190" s="54" t="s">
        <v>626</v>
      </c>
      <c r="K190" s="13" t="s">
        <v>628</v>
      </c>
      <c r="L190" s="13"/>
      <c r="M190" s="56" t="s">
        <v>731</v>
      </c>
      <c r="N190" s="54" t="s">
        <v>690</v>
      </c>
      <c r="O190" s="13" t="s">
        <v>691</v>
      </c>
      <c r="P190" s="13">
        <v>13567076781</v>
      </c>
      <c r="Q190" s="54" t="s">
        <v>1694</v>
      </c>
      <c r="R190" s="54" t="s">
        <v>726</v>
      </c>
      <c r="S190" s="57" t="s">
        <v>1697</v>
      </c>
      <c r="T190" s="57" t="s">
        <v>1698</v>
      </c>
      <c r="U190" s="13" t="s">
        <v>1686</v>
      </c>
      <c r="V190" s="13" t="s">
        <v>1585</v>
      </c>
      <c r="W190" s="81" t="s">
        <v>648</v>
      </c>
      <c r="X190" s="79">
        <v>62.01</v>
      </c>
      <c r="Y190" s="60">
        <v>19.45</v>
      </c>
      <c r="Z190" s="60">
        <v>19.11</v>
      </c>
      <c r="AA190" s="61" t="s">
        <v>1420</v>
      </c>
      <c r="AB190" s="18"/>
      <c r="AC190" s="19"/>
      <c r="AD190" s="19"/>
      <c r="AE190" s="19"/>
      <c r="AF190" s="38"/>
      <c r="AG190" s="38"/>
      <c r="AH190" s="38"/>
    </row>
    <row r="191" spans="1:34">
      <c r="A191" s="13" t="s">
        <v>39</v>
      </c>
      <c r="B191" s="13" t="s">
        <v>40</v>
      </c>
      <c r="C191" s="13" t="s">
        <v>41</v>
      </c>
      <c r="D191" s="54" t="s">
        <v>624</v>
      </c>
      <c r="E191" s="55"/>
      <c r="F191" s="13" t="s">
        <v>43</v>
      </c>
      <c r="G191" s="13" t="s">
        <v>44</v>
      </c>
      <c r="H191" s="13" t="s">
        <v>45</v>
      </c>
      <c r="I191" s="56" t="s">
        <v>625</v>
      </c>
      <c r="J191" s="54" t="s">
        <v>626</v>
      </c>
      <c r="K191" s="13" t="s">
        <v>628</v>
      </c>
      <c r="L191" s="13"/>
      <c r="M191" s="56" t="s">
        <v>731</v>
      </c>
      <c r="N191" s="54" t="s">
        <v>690</v>
      </c>
      <c r="O191" s="13" t="s">
        <v>691</v>
      </c>
      <c r="P191" s="13">
        <v>13567076781</v>
      </c>
      <c r="Q191" s="54"/>
      <c r="R191" s="54" t="s">
        <v>726</v>
      </c>
      <c r="S191" s="57"/>
      <c r="T191" s="57" t="s">
        <v>1699</v>
      </c>
      <c r="U191" s="64"/>
      <c r="V191" s="85"/>
      <c r="W191" s="86" t="s">
        <v>648</v>
      </c>
      <c r="X191" s="67">
        <v>62.01</v>
      </c>
      <c r="Y191" s="60">
        <v>1.75</v>
      </c>
      <c r="Z191" s="60">
        <v>1.76</v>
      </c>
      <c r="AA191" s="61" t="s">
        <v>1420</v>
      </c>
      <c r="AB191" s="18"/>
      <c r="AC191" s="19"/>
      <c r="AD191" s="19"/>
      <c r="AE191" s="19"/>
      <c r="AF191" s="63"/>
      <c r="AG191" s="63"/>
      <c r="AH191" s="63"/>
    </row>
    <row r="192" ht="16.8" spans="1:34">
      <c r="A192" s="13" t="s">
        <v>39</v>
      </c>
      <c r="B192" s="13" t="s">
        <v>40</v>
      </c>
      <c r="C192" s="13" t="s">
        <v>41</v>
      </c>
      <c r="D192" s="54" t="s">
        <v>624</v>
      </c>
      <c r="E192" s="55"/>
      <c r="F192" s="13" t="s">
        <v>43</v>
      </c>
      <c r="G192" s="13" t="s">
        <v>44</v>
      </c>
      <c r="H192" s="13" t="s">
        <v>45</v>
      </c>
      <c r="I192" s="56" t="s">
        <v>625</v>
      </c>
      <c r="J192" s="54" t="s">
        <v>626</v>
      </c>
      <c r="K192" s="13" t="s">
        <v>628</v>
      </c>
      <c r="L192" s="13"/>
      <c r="M192" s="56" t="s">
        <v>731</v>
      </c>
      <c r="N192" s="54" t="s">
        <v>690</v>
      </c>
      <c r="O192" s="13" t="s">
        <v>691</v>
      </c>
      <c r="P192" s="13">
        <v>13567076781</v>
      </c>
      <c r="Q192" s="54"/>
      <c r="R192" s="76"/>
      <c r="S192" s="69"/>
      <c r="T192" s="69" t="s">
        <v>1700</v>
      </c>
      <c r="U192" s="64"/>
      <c r="V192" s="85"/>
      <c r="W192" s="86" t="s">
        <v>696</v>
      </c>
      <c r="X192" s="67">
        <v>251.4</v>
      </c>
      <c r="Y192" s="94">
        <v>29.45</v>
      </c>
      <c r="Z192" s="77">
        <v>29.33</v>
      </c>
      <c r="AA192" s="61" t="s">
        <v>1474</v>
      </c>
      <c r="AB192" s="18"/>
      <c r="AC192" s="19"/>
      <c r="AD192" s="19"/>
      <c r="AE192" s="19"/>
      <c r="AF192" s="63"/>
      <c r="AG192" s="63"/>
      <c r="AH192" s="63"/>
    </row>
    <row r="193" ht="16.8" spans="1:34">
      <c r="A193" s="13" t="s">
        <v>39</v>
      </c>
      <c r="B193" s="13" t="s">
        <v>40</v>
      </c>
      <c r="C193" s="13" t="s">
        <v>41</v>
      </c>
      <c r="D193" s="54" t="s">
        <v>624</v>
      </c>
      <c r="E193" s="55"/>
      <c r="F193" s="13" t="s">
        <v>43</v>
      </c>
      <c r="G193" s="13" t="s">
        <v>44</v>
      </c>
      <c r="H193" s="13" t="s">
        <v>45</v>
      </c>
      <c r="I193" s="56" t="s">
        <v>625</v>
      </c>
      <c r="J193" s="54" t="s">
        <v>626</v>
      </c>
      <c r="K193" s="13" t="s">
        <v>628</v>
      </c>
      <c r="L193" s="13"/>
      <c r="M193" s="56" t="s">
        <v>731</v>
      </c>
      <c r="N193" s="54" t="s">
        <v>690</v>
      </c>
      <c r="O193" s="13" t="s">
        <v>691</v>
      </c>
      <c r="P193" s="13">
        <v>13567076781</v>
      </c>
      <c r="Q193" s="54"/>
      <c r="R193" s="76"/>
      <c r="S193" s="69"/>
      <c r="T193" s="69" t="s">
        <v>1701</v>
      </c>
      <c r="U193" s="64"/>
      <c r="V193" s="85"/>
      <c r="W193" s="86" t="s">
        <v>696</v>
      </c>
      <c r="X193" s="67">
        <v>251.4</v>
      </c>
      <c r="Y193" s="94">
        <v>2.73</v>
      </c>
      <c r="Z193" s="94">
        <v>2.73</v>
      </c>
      <c r="AA193" s="61" t="s">
        <v>1474</v>
      </c>
      <c r="AB193" s="18"/>
      <c r="AC193" s="19"/>
      <c r="AD193" s="19"/>
      <c r="AE193" s="19"/>
      <c r="AF193" s="63"/>
      <c r="AG193" s="63"/>
      <c r="AH193" s="63"/>
    </row>
    <row r="194" ht="16.8" spans="1:34">
      <c r="A194" s="13" t="s">
        <v>39</v>
      </c>
      <c r="B194" s="13" t="s">
        <v>40</v>
      </c>
      <c r="C194" s="13" t="s">
        <v>41</v>
      </c>
      <c r="D194" s="54" t="s">
        <v>624</v>
      </c>
      <c r="E194" s="55"/>
      <c r="F194" s="13" t="s">
        <v>43</v>
      </c>
      <c r="G194" s="13" t="s">
        <v>44</v>
      </c>
      <c r="H194" s="13" t="s">
        <v>45</v>
      </c>
      <c r="I194" s="56" t="s">
        <v>625</v>
      </c>
      <c r="J194" s="54" t="s">
        <v>626</v>
      </c>
      <c r="K194" s="13" t="s">
        <v>628</v>
      </c>
      <c r="L194" s="13"/>
      <c r="M194" s="56" t="s">
        <v>731</v>
      </c>
      <c r="N194" s="54" t="s">
        <v>690</v>
      </c>
      <c r="O194" s="13" t="s">
        <v>691</v>
      </c>
      <c r="P194" s="13">
        <v>13567076781</v>
      </c>
      <c r="Q194" s="54"/>
      <c r="R194" s="76"/>
      <c r="S194" s="69"/>
      <c r="T194" s="69" t="s">
        <v>1702</v>
      </c>
      <c r="U194" s="64"/>
      <c r="V194" s="85"/>
      <c r="W194" s="86" t="s">
        <v>696</v>
      </c>
      <c r="X194" s="67">
        <v>251.4</v>
      </c>
      <c r="Y194" s="94">
        <v>1.8</v>
      </c>
      <c r="Z194" s="94">
        <v>1.8</v>
      </c>
      <c r="AA194" s="61" t="s">
        <v>1474</v>
      </c>
      <c r="AB194" s="18"/>
      <c r="AC194" s="19"/>
      <c r="AD194" s="19"/>
      <c r="AE194" s="19"/>
      <c r="AF194" s="63"/>
      <c r="AG194" s="63"/>
      <c r="AH194" s="63"/>
    </row>
    <row r="195" ht="16.8" spans="1:34">
      <c r="A195" s="13" t="s">
        <v>39</v>
      </c>
      <c r="B195" s="13" t="s">
        <v>40</v>
      </c>
      <c r="C195" s="13" t="s">
        <v>41</v>
      </c>
      <c r="D195" s="54" t="s">
        <v>624</v>
      </c>
      <c r="E195" s="55"/>
      <c r="F195" s="13" t="s">
        <v>43</v>
      </c>
      <c r="G195" s="13" t="s">
        <v>44</v>
      </c>
      <c r="H195" s="13" t="s">
        <v>45</v>
      </c>
      <c r="I195" s="56" t="s">
        <v>625</v>
      </c>
      <c r="J195" s="54" t="s">
        <v>626</v>
      </c>
      <c r="K195" s="13" t="s">
        <v>628</v>
      </c>
      <c r="L195" s="13"/>
      <c r="M195" s="56" t="s">
        <v>731</v>
      </c>
      <c r="N195" s="54" t="s">
        <v>690</v>
      </c>
      <c r="O195" s="13" t="s">
        <v>691</v>
      </c>
      <c r="P195" s="13">
        <v>13567076781</v>
      </c>
      <c r="Q195" s="54"/>
      <c r="R195" s="76"/>
      <c r="S195" s="69"/>
      <c r="T195" s="69" t="s">
        <v>1703</v>
      </c>
      <c r="U195" s="64"/>
      <c r="V195" s="85"/>
      <c r="W195" s="86" t="s">
        <v>696</v>
      </c>
      <c r="X195" s="67">
        <v>251.4</v>
      </c>
      <c r="Y195" s="94">
        <v>1.47</v>
      </c>
      <c r="Z195" s="94">
        <v>1.48</v>
      </c>
      <c r="AA195" s="61" t="s">
        <v>1474</v>
      </c>
      <c r="AB195" s="18"/>
      <c r="AC195" s="19"/>
      <c r="AD195" s="19"/>
      <c r="AE195" s="19"/>
      <c r="AF195" s="63"/>
      <c r="AG195" s="63"/>
      <c r="AH195" s="63"/>
    </row>
    <row r="196" ht="16.8" spans="1:34">
      <c r="A196" s="13" t="s">
        <v>39</v>
      </c>
      <c r="B196" s="13" t="s">
        <v>40</v>
      </c>
      <c r="C196" s="13" t="s">
        <v>41</v>
      </c>
      <c r="D196" s="54" t="s">
        <v>624</v>
      </c>
      <c r="E196" s="55"/>
      <c r="F196" s="13" t="s">
        <v>43</v>
      </c>
      <c r="G196" s="13" t="s">
        <v>44</v>
      </c>
      <c r="H196" s="13" t="s">
        <v>45</v>
      </c>
      <c r="I196" s="56" t="s">
        <v>625</v>
      </c>
      <c r="J196" s="54" t="s">
        <v>626</v>
      </c>
      <c r="K196" s="13" t="s">
        <v>628</v>
      </c>
      <c r="L196" s="13"/>
      <c r="M196" s="56" t="s">
        <v>731</v>
      </c>
      <c r="N196" s="54" t="s">
        <v>690</v>
      </c>
      <c r="O196" s="13" t="s">
        <v>691</v>
      </c>
      <c r="P196" s="13">
        <v>13567076781</v>
      </c>
      <c r="Q196" s="54"/>
      <c r="R196" s="76"/>
      <c r="S196" s="69"/>
      <c r="T196" s="69" t="s">
        <v>1704</v>
      </c>
      <c r="U196" s="64"/>
      <c r="V196" s="85"/>
      <c r="W196" s="86" t="s">
        <v>696</v>
      </c>
      <c r="X196" s="67">
        <v>251.4</v>
      </c>
      <c r="Y196" s="94">
        <v>3.94</v>
      </c>
      <c r="Z196" s="94">
        <v>3.94</v>
      </c>
      <c r="AA196" s="61" t="s">
        <v>1474</v>
      </c>
      <c r="AB196" s="18"/>
      <c r="AC196" s="19"/>
      <c r="AD196" s="19"/>
      <c r="AE196" s="19"/>
      <c r="AF196" s="63"/>
      <c r="AG196" s="63"/>
      <c r="AH196" s="63"/>
    </row>
    <row r="197" ht="16.8" spans="1:34">
      <c r="A197" s="13" t="s">
        <v>39</v>
      </c>
      <c r="B197" s="13" t="s">
        <v>40</v>
      </c>
      <c r="C197" s="13" t="s">
        <v>41</v>
      </c>
      <c r="D197" s="54" t="s">
        <v>624</v>
      </c>
      <c r="E197" s="55"/>
      <c r="F197" s="13" t="s">
        <v>43</v>
      </c>
      <c r="G197" s="13" t="s">
        <v>44</v>
      </c>
      <c r="H197" s="13" t="s">
        <v>45</v>
      </c>
      <c r="I197" s="56" t="s">
        <v>625</v>
      </c>
      <c r="J197" s="54" t="s">
        <v>626</v>
      </c>
      <c r="K197" s="13" t="s">
        <v>628</v>
      </c>
      <c r="L197" s="13"/>
      <c r="M197" s="56" t="s">
        <v>731</v>
      </c>
      <c r="N197" s="54" t="s">
        <v>690</v>
      </c>
      <c r="O197" s="13" t="s">
        <v>691</v>
      </c>
      <c r="P197" s="13">
        <v>13567076781</v>
      </c>
      <c r="Q197" s="54"/>
      <c r="R197" s="76"/>
      <c r="S197" s="69"/>
      <c r="T197" s="69" t="s">
        <v>1705</v>
      </c>
      <c r="U197" s="64"/>
      <c r="V197" s="85"/>
      <c r="W197" s="86" t="s">
        <v>696</v>
      </c>
      <c r="X197" s="67">
        <v>251.4</v>
      </c>
      <c r="Y197" s="94">
        <v>2.36</v>
      </c>
      <c r="Z197" s="77">
        <v>2.37</v>
      </c>
      <c r="AA197" s="61" t="s">
        <v>1474</v>
      </c>
      <c r="AB197" s="18"/>
      <c r="AC197" s="19"/>
      <c r="AD197" s="19"/>
      <c r="AE197" s="19"/>
      <c r="AF197" s="63"/>
      <c r="AG197" s="63"/>
      <c r="AH197" s="63"/>
    </row>
    <row r="198" ht="16.8" spans="1:34">
      <c r="A198" s="13" t="s">
        <v>39</v>
      </c>
      <c r="B198" s="13" t="s">
        <v>40</v>
      </c>
      <c r="C198" s="13" t="s">
        <v>41</v>
      </c>
      <c r="D198" s="54" t="s">
        <v>624</v>
      </c>
      <c r="E198" s="55"/>
      <c r="F198" s="13" t="s">
        <v>43</v>
      </c>
      <c r="G198" s="13" t="s">
        <v>44</v>
      </c>
      <c r="H198" s="13" t="s">
        <v>45</v>
      </c>
      <c r="I198" s="56" t="s">
        <v>625</v>
      </c>
      <c r="J198" s="54" t="s">
        <v>626</v>
      </c>
      <c r="K198" s="13" t="s">
        <v>628</v>
      </c>
      <c r="L198" s="13"/>
      <c r="M198" s="56" t="s">
        <v>731</v>
      </c>
      <c r="N198" s="54" t="s">
        <v>690</v>
      </c>
      <c r="O198" s="13" t="s">
        <v>691</v>
      </c>
      <c r="P198" s="13">
        <v>13567076781</v>
      </c>
      <c r="Q198" s="54"/>
      <c r="R198" s="76"/>
      <c r="S198" s="69"/>
      <c r="T198" s="69" t="s">
        <v>1706</v>
      </c>
      <c r="U198" s="64"/>
      <c r="V198" s="85"/>
      <c r="W198" s="86" t="s">
        <v>696</v>
      </c>
      <c r="X198" s="67">
        <v>251.4</v>
      </c>
      <c r="Y198" s="94">
        <v>12.7</v>
      </c>
      <c r="Z198" s="94">
        <v>12.7</v>
      </c>
      <c r="AA198" s="61" t="s">
        <v>1474</v>
      </c>
      <c r="AB198" s="18"/>
      <c r="AC198" s="19"/>
      <c r="AD198" s="19"/>
      <c r="AE198" s="19"/>
      <c r="AF198" s="63"/>
      <c r="AG198" s="63"/>
      <c r="AH198" s="63"/>
    </row>
    <row r="199" ht="16.8" spans="1:34">
      <c r="A199" s="13" t="s">
        <v>39</v>
      </c>
      <c r="B199" s="13" t="s">
        <v>40</v>
      </c>
      <c r="C199" s="13" t="s">
        <v>41</v>
      </c>
      <c r="D199" s="54" t="s">
        <v>624</v>
      </c>
      <c r="E199" s="55"/>
      <c r="F199" s="13" t="s">
        <v>43</v>
      </c>
      <c r="G199" s="13" t="s">
        <v>44</v>
      </c>
      <c r="H199" s="13" t="s">
        <v>45</v>
      </c>
      <c r="I199" s="56" t="s">
        <v>625</v>
      </c>
      <c r="J199" s="54" t="s">
        <v>626</v>
      </c>
      <c r="K199" s="13" t="s">
        <v>628</v>
      </c>
      <c r="L199" s="13"/>
      <c r="M199" s="56" t="s">
        <v>731</v>
      </c>
      <c r="N199" s="54" t="s">
        <v>690</v>
      </c>
      <c r="O199" s="13" t="s">
        <v>691</v>
      </c>
      <c r="P199" s="13">
        <v>13567076781</v>
      </c>
      <c r="Q199" s="54"/>
      <c r="R199" s="76"/>
      <c r="S199" s="69"/>
      <c r="T199" s="69" t="s">
        <v>1707</v>
      </c>
      <c r="U199" s="64"/>
      <c r="V199" s="85"/>
      <c r="W199" s="86" t="s">
        <v>696</v>
      </c>
      <c r="X199" s="67">
        <v>251.4</v>
      </c>
      <c r="Y199" s="94">
        <v>10.4</v>
      </c>
      <c r="Z199" s="94">
        <v>10.41</v>
      </c>
      <c r="AA199" s="61" t="s">
        <v>1474</v>
      </c>
      <c r="AB199" s="18"/>
      <c r="AC199" s="19"/>
      <c r="AD199" s="19"/>
      <c r="AE199" s="19"/>
      <c r="AF199" s="63"/>
      <c r="AG199" s="63"/>
      <c r="AH199" s="63"/>
    </row>
    <row r="200" s="33" customFormat="1" spans="1:34">
      <c r="A200" s="13" t="s">
        <v>39</v>
      </c>
      <c r="B200" s="13" t="s">
        <v>40</v>
      </c>
      <c r="C200" s="13" t="s">
        <v>41</v>
      </c>
      <c r="D200" s="54" t="s">
        <v>624</v>
      </c>
      <c r="E200" s="55"/>
      <c r="F200" s="13" t="s">
        <v>43</v>
      </c>
      <c r="G200" s="13" t="s">
        <v>44</v>
      </c>
      <c r="H200" s="13" t="s">
        <v>45</v>
      </c>
      <c r="I200" s="56" t="s">
        <v>625</v>
      </c>
      <c r="J200" s="54" t="s">
        <v>626</v>
      </c>
      <c r="K200" s="13" t="s">
        <v>628</v>
      </c>
      <c r="L200" s="13"/>
      <c r="M200" s="56" t="s">
        <v>765</v>
      </c>
      <c r="N200" s="54" t="s">
        <v>642</v>
      </c>
      <c r="O200" s="13" t="s">
        <v>643</v>
      </c>
      <c r="P200" s="13">
        <v>13757046168</v>
      </c>
      <c r="Q200" s="54" t="s">
        <v>773</v>
      </c>
      <c r="R200" s="54" t="s">
        <v>652</v>
      </c>
      <c r="S200" s="57" t="s">
        <v>775</v>
      </c>
      <c r="T200" s="57" t="s">
        <v>652</v>
      </c>
      <c r="U200" s="13" t="s">
        <v>1708</v>
      </c>
      <c r="V200" s="13" t="s">
        <v>1709</v>
      </c>
      <c r="W200" s="82" t="s">
        <v>355</v>
      </c>
      <c r="X200" s="79">
        <v>2392.78</v>
      </c>
      <c r="Y200" s="60">
        <v>72.14</v>
      </c>
      <c r="Z200" s="60">
        <v>70.52</v>
      </c>
      <c r="AA200" s="61" t="s">
        <v>1420</v>
      </c>
      <c r="AB200" s="18"/>
      <c r="AC200" s="19"/>
      <c r="AD200" s="19"/>
      <c r="AE200" s="19"/>
      <c r="AF200" s="38"/>
      <c r="AG200" s="38"/>
      <c r="AH200" s="38"/>
    </row>
    <row r="201" s="33" customFormat="1" spans="1:34">
      <c r="A201" s="13" t="s">
        <v>39</v>
      </c>
      <c r="B201" s="13" t="s">
        <v>40</v>
      </c>
      <c r="C201" s="13" t="s">
        <v>41</v>
      </c>
      <c r="D201" s="54" t="s">
        <v>624</v>
      </c>
      <c r="E201" s="55"/>
      <c r="F201" s="13" t="s">
        <v>43</v>
      </c>
      <c r="G201" s="13" t="s">
        <v>44</v>
      </c>
      <c r="H201" s="13" t="s">
        <v>45</v>
      </c>
      <c r="I201" s="56" t="s">
        <v>625</v>
      </c>
      <c r="J201" s="54" t="s">
        <v>626</v>
      </c>
      <c r="K201" s="13" t="s">
        <v>628</v>
      </c>
      <c r="L201" s="13"/>
      <c r="M201" s="56" t="s">
        <v>765</v>
      </c>
      <c r="N201" s="54" t="s">
        <v>642</v>
      </c>
      <c r="O201" s="13" t="s">
        <v>643</v>
      </c>
      <c r="P201" s="13">
        <v>13757046168</v>
      </c>
      <c r="Q201" s="54" t="s">
        <v>793</v>
      </c>
      <c r="R201" s="54" t="s">
        <v>660</v>
      </c>
      <c r="S201" s="57" t="s">
        <v>795</v>
      </c>
      <c r="T201" s="57" t="s">
        <v>660</v>
      </c>
      <c r="U201" s="13" t="s">
        <v>1708</v>
      </c>
      <c r="V201" s="13" t="s">
        <v>1709</v>
      </c>
      <c r="W201" s="13" t="s">
        <v>355</v>
      </c>
      <c r="X201" s="79">
        <v>2392.78</v>
      </c>
      <c r="Y201" s="60">
        <v>39.32</v>
      </c>
      <c r="Z201" s="60">
        <v>37.88</v>
      </c>
      <c r="AA201" s="61" t="s">
        <v>1420</v>
      </c>
      <c r="AB201" s="18"/>
      <c r="AC201" s="19"/>
      <c r="AD201" s="19"/>
      <c r="AE201" s="19"/>
      <c r="AF201" s="38"/>
      <c r="AG201" s="38"/>
      <c r="AH201" s="38"/>
    </row>
    <row r="202" spans="1:34">
      <c r="A202" s="13" t="s">
        <v>39</v>
      </c>
      <c r="B202" s="13" t="s">
        <v>40</v>
      </c>
      <c r="C202" s="13" t="s">
        <v>41</v>
      </c>
      <c r="D202" s="54" t="s">
        <v>624</v>
      </c>
      <c r="E202" s="55"/>
      <c r="F202" s="13" t="s">
        <v>43</v>
      </c>
      <c r="G202" s="13" t="s">
        <v>44</v>
      </c>
      <c r="H202" s="13" t="s">
        <v>45</v>
      </c>
      <c r="I202" s="11" t="s">
        <v>625</v>
      </c>
      <c r="J202" s="54" t="s">
        <v>626</v>
      </c>
      <c r="K202" s="13" t="s">
        <v>628</v>
      </c>
      <c r="L202" s="13"/>
      <c r="M202" s="11" t="s">
        <v>765</v>
      </c>
      <c r="N202" s="54" t="s">
        <v>837</v>
      </c>
      <c r="O202" s="13" t="s">
        <v>643</v>
      </c>
      <c r="P202" s="13">
        <v>13757046168</v>
      </c>
      <c r="Q202" s="54" t="s">
        <v>793</v>
      </c>
      <c r="R202" s="54" t="s">
        <v>837</v>
      </c>
      <c r="S202" s="57" t="s">
        <v>798</v>
      </c>
      <c r="T202" s="57" t="s">
        <v>839</v>
      </c>
      <c r="U202" s="64" t="s">
        <v>1708</v>
      </c>
      <c r="V202" s="13" t="s">
        <v>1709</v>
      </c>
      <c r="W202" s="64" t="s">
        <v>842</v>
      </c>
      <c r="X202" s="67">
        <v>4</v>
      </c>
      <c r="Y202" s="60">
        <v>5.74</v>
      </c>
      <c r="Z202" s="60">
        <v>5.73</v>
      </c>
      <c r="AA202" s="61" t="s">
        <v>1420</v>
      </c>
      <c r="AB202" s="18"/>
      <c r="AC202" s="19"/>
      <c r="AD202" s="19"/>
      <c r="AE202" s="19"/>
    </row>
    <row r="203" s="33" customFormat="1" spans="1:34">
      <c r="A203" s="13" t="s">
        <v>39</v>
      </c>
      <c r="B203" s="13" t="s">
        <v>40</v>
      </c>
      <c r="C203" s="13" t="s">
        <v>41</v>
      </c>
      <c r="D203" s="54" t="s">
        <v>624</v>
      </c>
      <c r="E203" s="55"/>
      <c r="F203" s="13" t="s">
        <v>43</v>
      </c>
      <c r="G203" s="13" t="s">
        <v>44</v>
      </c>
      <c r="H203" s="13" t="s">
        <v>45</v>
      </c>
      <c r="I203" s="56" t="s">
        <v>625</v>
      </c>
      <c r="J203" s="54" t="s">
        <v>626</v>
      </c>
      <c r="K203" s="13" t="s">
        <v>628</v>
      </c>
      <c r="L203" s="13"/>
      <c r="M203" s="56" t="s">
        <v>765</v>
      </c>
      <c r="N203" s="54" t="s">
        <v>642</v>
      </c>
      <c r="O203" s="13" t="s">
        <v>643</v>
      </c>
      <c r="P203" s="13">
        <v>13757046168</v>
      </c>
      <c r="Q203" s="54" t="s">
        <v>1710</v>
      </c>
      <c r="R203" s="54" t="s">
        <v>656</v>
      </c>
      <c r="S203" s="57" t="s">
        <v>1711</v>
      </c>
      <c r="T203" s="57" t="s">
        <v>656</v>
      </c>
      <c r="U203" s="13" t="s">
        <v>1708</v>
      </c>
      <c r="V203" s="13" t="s">
        <v>1709</v>
      </c>
      <c r="W203" s="13" t="s">
        <v>355</v>
      </c>
      <c r="X203" s="79">
        <v>2392.78</v>
      </c>
      <c r="Y203" s="60">
        <v>272.29</v>
      </c>
      <c r="Z203" s="60">
        <v>265.74</v>
      </c>
      <c r="AA203" s="61" t="s">
        <v>1420</v>
      </c>
      <c r="AB203" s="18"/>
      <c r="AC203" s="19"/>
      <c r="AD203" s="19"/>
      <c r="AE203" s="19"/>
      <c r="AF203" s="38"/>
      <c r="AG203" s="38"/>
      <c r="AH203" s="38"/>
    </row>
    <row r="204" s="33" customFormat="1" spans="1:34">
      <c r="A204" s="13" t="s">
        <v>39</v>
      </c>
      <c r="B204" s="13" t="s">
        <v>40</v>
      </c>
      <c r="C204" s="13" t="s">
        <v>41</v>
      </c>
      <c r="D204" s="54" t="s">
        <v>624</v>
      </c>
      <c r="E204" s="55"/>
      <c r="F204" s="13" t="s">
        <v>43</v>
      </c>
      <c r="G204" s="13" t="s">
        <v>44</v>
      </c>
      <c r="H204" s="13" t="s">
        <v>45</v>
      </c>
      <c r="I204" s="56" t="s">
        <v>625</v>
      </c>
      <c r="J204" s="54" t="s">
        <v>626</v>
      </c>
      <c r="K204" s="13" t="s">
        <v>628</v>
      </c>
      <c r="L204" s="13"/>
      <c r="M204" s="56" t="s">
        <v>765</v>
      </c>
      <c r="N204" s="54" t="s">
        <v>642</v>
      </c>
      <c r="O204" s="13" t="s">
        <v>643</v>
      </c>
      <c r="P204" s="13">
        <v>13757046168</v>
      </c>
      <c r="Q204" s="54"/>
      <c r="R204" s="54" t="s">
        <v>645</v>
      </c>
      <c r="S204" s="57"/>
      <c r="T204" s="57" t="s">
        <v>645</v>
      </c>
      <c r="U204" s="13"/>
      <c r="V204" s="13"/>
      <c r="W204" s="13" t="s">
        <v>355</v>
      </c>
      <c r="X204" s="79">
        <v>2392.78</v>
      </c>
      <c r="Y204" s="60">
        <v>12</v>
      </c>
      <c r="Z204" s="60">
        <v>12</v>
      </c>
      <c r="AA204" s="61" t="s">
        <v>1420</v>
      </c>
      <c r="AB204" s="18"/>
      <c r="AC204" s="19"/>
      <c r="AD204" s="19"/>
      <c r="AE204" s="19"/>
      <c r="AF204" s="38"/>
      <c r="AG204" s="38"/>
      <c r="AH204" s="38"/>
    </row>
    <row r="205" s="33" customFormat="1" spans="1:34">
      <c r="A205" s="13" t="s">
        <v>39</v>
      </c>
      <c r="B205" s="13" t="s">
        <v>40</v>
      </c>
      <c r="C205" s="13" t="s">
        <v>41</v>
      </c>
      <c r="D205" s="54" t="s">
        <v>624</v>
      </c>
      <c r="E205" s="55"/>
      <c r="F205" s="13" t="s">
        <v>43</v>
      </c>
      <c r="G205" s="13" t="s">
        <v>44</v>
      </c>
      <c r="H205" s="13" t="s">
        <v>45</v>
      </c>
      <c r="I205" s="56" t="s">
        <v>625</v>
      </c>
      <c r="J205" s="54" t="s">
        <v>626</v>
      </c>
      <c r="K205" s="13" t="s">
        <v>628</v>
      </c>
      <c r="L205" s="13"/>
      <c r="M205" s="56" t="s">
        <v>765</v>
      </c>
      <c r="N205" s="54" t="s">
        <v>642</v>
      </c>
      <c r="O205" s="13" t="s">
        <v>643</v>
      </c>
      <c r="P205" s="13">
        <v>13757046168</v>
      </c>
      <c r="Q205" s="54" t="s">
        <v>1712</v>
      </c>
      <c r="R205" s="54" t="s">
        <v>684</v>
      </c>
      <c r="S205" s="57" t="s">
        <v>1713</v>
      </c>
      <c r="T205" s="57" t="s">
        <v>684</v>
      </c>
      <c r="U205" s="13" t="s">
        <v>1708</v>
      </c>
      <c r="V205" s="13" t="s">
        <v>1709</v>
      </c>
      <c r="W205" s="13" t="s">
        <v>355</v>
      </c>
      <c r="X205" s="79">
        <v>2392.78</v>
      </c>
      <c r="Y205" s="60">
        <v>111.4</v>
      </c>
      <c r="Z205" s="60">
        <v>109.15</v>
      </c>
      <c r="AA205" s="61" t="s">
        <v>1420</v>
      </c>
      <c r="AB205" s="18"/>
      <c r="AC205" s="19"/>
      <c r="AD205" s="19"/>
      <c r="AE205" s="19"/>
      <c r="AF205" s="38"/>
      <c r="AG205" s="38"/>
      <c r="AH205" s="38"/>
    </row>
    <row r="206" s="33" customFormat="1" spans="1:34">
      <c r="A206" s="13" t="s">
        <v>39</v>
      </c>
      <c r="B206" s="13" t="s">
        <v>40</v>
      </c>
      <c r="C206" s="13" t="s">
        <v>41</v>
      </c>
      <c r="D206" s="54" t="s">
        <v>624</v>
      </c>
      <c r="E206" s="55"/>
      <c r="F206" s="13" t="s">
        <v>43</v>
      </c>
      <c r="G206" s="13" t="s">
        <v>44</v>
      </c>
      <c r="H206" s="13" t="s">
        <v>45</v>
      </c>
      <c r="I206" s="56" t="s">
        <v>625</v>
      </c>
      <c r="J206" s="54" t="s">
        <v>626</v>
      </c>
      <c r="K206" s="13" t="s">
        <v>628</v>
      </c>
      <c r="L206" s="13"/>
      <c r="M206" s="56" t="s">
        <v>765</v>
      </c>
      <c r="N206" s="54" t="s">
        <v>642</v>
      </c>
      <c r="O206" s="13" t="s">
        <v>643</v>
      </c>
      <c r="P206" s="13">
        <v>13757046168</v>
      </c>
      <c r="Q206" s="54" t="s">
        <v>1714</v>
      </c>
      <c r="R206" s="54" t="s">
        <v>664</v>
      </c>
      <c r="S206" s="57" t="s">
        <v>1715</v>
      </c>
      <c r="T206" s="57" t="s">
        <v>1716</v>
      </c>
      <c r="U206" s="13" t="s">
        <v>1708</v>
      </c>
      <c r="V206" s="13" t="s">
        <v>1709</v>
      </c>
      <c r="W206" s="82" t="s">
        <v>355</v>
      </c>
      <c r="X206" s="79">
        <v>2392.78</v>
      </c>
      <c r="Y206" s="60">
        <v>90.84</v>
      </c>
      <c r="Z206" s="60">
        <v>87.16</v>
      </c>
      <c r="AA206" s="61" t="s">
        <v>1420</v>
      </c>
      <c r="AB206" s="18"/>
      <c r="AC206" s="19"/>
      <c r="AD206" s="19"/>
      <c r="AE206" s="19"/>
      <c r="AF206" s="38"/>
      <c r="AG206" s="38"/>
      <c r="AH206" s="38"/>
    </row>
    <row r="207" s="33" customFormat="1" spans="1:34">
      <c r="A207" s="13" t="s">
        <v>39</v>
      </c>
      <c r="B207" s="13" t="s">
        <v>40</v>
      </c>
      <c r="C207" s="13" t="s">
        <v>41</v>
      </c>
      <c r="D207" s="54" t="s">
        <v>624</v>
      </c>
      <c r="E207" s="55"/>
      <c r="F207" s="13" t="s">
        <v>43</v>
      </c>
      <c r="G207" s="13" t="s">
        <v>44</v>
      </c>
      <c r="H207" s="13" t="s">
        <v>45</v>
      </c>
      <c r="I207" s="56" t="s">
        <v>625</v>
      </c>
      <c r="J207" s="54" t="s">
        <v>626</v>
      </c>
      <c r="K207" s="13" t="s">
        <v>628</v>
      </c>
      <c r="L207" s="13"/>
      <c r="M207" s="56" t="s">
        <v>765</v>
      </c>
      <c r="N207" s="54" t="s">
        <v>642</v>
      </c>
      <c r="O207" s="13" t="s">
        <v>643</v>
      </c>
      <c r="P207" s="13">
        <v>13757046168</v>
      </c>
      <c r="Q207" s="54" t="s">
        <v>1714</v>
      </c>
      <c r="R207" s="54" t="s">
        <v>664</v>
      </c>
      <c r="S207" s="57"/>
      <c r="T207" s="57" t="s">
        <v>1717</v>
      </c>
      <c r="U207" s="13"/>
      <c r="V207" s="13"/>
      <c r="W207" s="82" t="s">
        <v>355</v>
      </c>
      <c r="X207" s="79">
        <v>2392.78</v>
      </c>
      <c r="Y207" s="60">
        <v>68.29</v>
      </c>
      <c r="Z207" s="60">
        <v>66.34</v>
      </c>
      <c r="AA207" s="61" t="s">
        <v>1420</v>
      </c>
      <c r="AB207" s="18"/>
      <c r="AC207" s="19"/>
      <c r="AD207" s="19"/>
      <c r="AE207" s="19"/>
      <c r="AF207" s="38"/>
      <c r="AG207" s="38"/>
      <c r="AH207" s="38"/>
    </row>
    <row r="208" spans="1:34">
      <c r="A208" s="13" t="s">
        <v>39</v>
      </c>
      <c r="B208" s="13" t="s">
        <v>40</v>
      </c>
      <c r="C208" s="13" t="s">
        <v>41</v>
      </c>
      <c r="D208" s="54" t="s">
        <v>624</v>
      </c>
      <c r="E208" s="55"/>
      <c r="F208" s="13" t="s">
        <v>43</v>
      </c>
      <c r="G208" s="13" t="s">
        <v>44</v>
      </c>
      <c r="H208" s="13" t="s">
        <v>45</v>
      </c>
      <c r="I208" s="56" t="s">
        <v>625</v>
      </c>
      <c r="J208" s="54" t="s">
        <v>626</v>
      </c>
      <c r="K208" s="13" t="s">
        <v>628</v>
      </c>
      <c r="L208" s="13"/>
      <c r="M208" s="56" t="s">
        <v>765</v>
      </c>
      <c r="N208" s="54" t="s">
        <v>642</v>
      </c>
      <c r="O208" s="13" t="s">
        <v>643</v>
      </c>
      <c r="P208" s="13">
        <v>13757046168</v>
      </c>
      <c r="Q208" s="54"/>
      <c r="R208" s="54" t="s">
        <v>664</v>
      </c>
      <c r="S208" s="57"/>
      <c r="T208" s="57" t="s">
        <v>1718</v>
      </c>
      <c r="U208" s="64"/>
      <c r="V208" s="13"/>
      <c r="W208" s="95" t="s">
        <v>1719</v>
      </c>
      <c r="X208" s="59">
        <v>1</v>
      </c>
      <c r="Y208" s="60">
        <v>5.79</v>
      </c>
      <c r="Z208" s="60">
        <v>4.14</v>
      </c>
      <c r="AA208" s="61" t="s">
        <v>1474</v>
      </c>
      <c r="AB208" s="18"/>
      <c r="AC208" s="19"/>
      <c r="AD208" s="19"/>
      <c r="AE208" s="19"/>
      <c r="AF208" s="63"/>
      <c r="AG208" s="63"/>
      <c r="AH208" s="63"/>
    </row>
    <row r="209" s="33" customFormat="1" spans="1:34">
      <c r="A209" s="13" t="s">
        <v>39</v>
      </c>
      <c r="B209" s="13" t="s">
        <v>40</v>
      </c>
      <c r="C209" s="13" t="s">
        <v>41</v>
      </c>
      <c r="D209" s="54" t="s">
        <v>624</v>
      </c>
      <c r="E209" s="55"/>
      <c r="F209" s="13" t="s">
        <v>43</v>
      </c>
      <c r="G209" s="13" t="s">
        <v>44</v>
      </c>
      <c r="H209" s="13" t="s">
        <v>45</v>
      </c>
      <c r="I209" s="56" t="s">
        <v>625</v>
      </c>
      <c r="J209" s="54" t="s">
        <v>626</v>
      </c>
      <c r="K209" s="13" t="s">
        <v>628</v>
      </c>
      <c r="L209" s="13"/>
      <c r="M209" s="56" t="s">
        <v>765</v>
      </c>
      <c r="N209" s="54" t="s">
        <v>642</v>
      </c>
      <c r="O209" s="13" t="s">
        <v>643</v>
      </c>
      <c r="P209" s="13">
        <v>13757046168</v>
      </c>
      <c r="Q209" s="54"/>
      <c r="R209" s="54" t="s">
        <v>664</v>
      </c>
      <c r="S209" s="57"/>
      <c r="T209" s="57" t="s">
        <v>1720</v>
      </c>
      <c r="U209" s="13"/>
      <c r="V209" s="13"/>
      <c r="W209" s="95" t="s">
        <v>648</v>
      </c>
      <c r="X209" s="67">
        <v>62.01</v>
      </c>
      <c r="Y209" s="60">
        <v>1.21</v>
      </c>
      <c r="Z209" s="60">
        <v>1.21</v>
      </c>
      <c r="AA209" s="61" t="s">
        <v>1420</v>
      </c>
      <c r="AB209" s="18"/>
      <c r="AC209" s="19"/>
      <c r="AD209" s="19"/>
      <c r="AE209" s="19"/>
      <c r="AF209" s="89"/>
      <c r="AG209" s="89"/>
      <c r="AH209" s="89"/>
    </row>
    <row r="210" s="33" customFormat="1" spans="1:34">
      <c r="A210" s="13" t="s">
        <v>39</v>
      </c>
      <c r="B210" s="13" t="s">
        <v>40</v>
      </c>
      <c r="C210" s="13" t="s">
        <v>41</v>
      </c>
      <c r="D210" s="54" t="s">
        <v>624</v>
      </c>
      <c r="E210" s="55"/>
      <c r="F210" s="13" t="s">
        <v>43</v>
      </c>
      <c r="G210" s="13" t="s">
        <v>44</v>
      </c>
      <c r="H210" s="13" t="s">
        <v>45</v>
      </c>
      <c r="I210" s="56" t="s">
        <v>625</v>
      </c>
      <c r="J210" s="54" t="s">
        <v>626</v>
      </c>
      <c r="K210" s="13" t="s">
        <v>628</v>
      </c>
      <c r="L210" s="13"/>
      <c r="M210" s="56" t="s">
        <v>765</v>
      </c>
      <c r="N210" s="54" t="s">
        <v>642</v>
      </c>
      <c r="O210" s="13" t="s">
        <v>643</v>
      </c>
      <c r="P210" s="13">
        <v>13757046168</v>
      </c>
      <c r="Q210" s="54"/>
      <c r="R210" s="54" t="s">
        <v>664</v>
      </c>
      <c r="S210" s="57"/>
      <c r="T210" s="57" t="s">
        <v>1721</v>
      </c>
      <c r="U210" s="13"/>
      <c r="V210" s="13"/>
      <c r="W210" s="95" t="s">
        <v>648</v>
      </c>
      <c r="X210" s="67">
        <v>62.01</v>
      </c>
      <c r="Y210" s="60">
        <v>0.17</v>
      </c>
      <c r="Z210" s="60">
        <v>0.17</v>
      </c>
      <c r="AA210" s="61" t="s">
        <v>1420</v>
      </c>
      <c r="AB210" s="18"/>
      <c r="AC210" s="19"/>
      <c r="AD210" s="19"/>
      <c r="AE210" s="19"/>
      <c r="AF210" s="89"/>
      <c r="AG210" s="89"/>
      <c r="AH210" s="89"/>
    </row>
    <row r="211" s="33" customFormat="1" spans="1:34">
      <c r="A211" s="13" t="s">
        <v>39</v>
      </c>
      <c r="B211" s="13" t="s">
        <v>40</v>
      </c>
      <c r="C211" s="13" t="s">
        <v>41</v>
      </c>
      <c r="D211" s="54" t="s">
        <v>624</v>
      </c>
      <c r="E211" s="55"/>
      <c r="F211" s="13" t="s">
        <v>43</v>
      </c>
      <c r="G211" s="13" t="s">
        <v>44</v>
      </c>
      <c r="H211" s="13" t="s">
        <v>45</v>
      </c>
      <c r="I211" s="56" t="s">
        <v>625</v>
      </c>
      <c r="J211" s="54" t="s">
        <v>626</v>
      </c>
      <c r="K211" s="13" t="s">
        <v>628</v>
      </c>
      <c r="L211" s="13"/>
      <c r="M211" s="56" t="s">
        <v>765</v>
      </c>
      <c r="N211" s="54" t="s">
        <v>642</v>
      </c>
      <c r="O211" s="13" t="s">
        <v>643</v>
      </c>
      <c r="P211" s="13">
        <v>13757046168</v>
      </c>
      <c r="Q211" s="54"/>
      <c r="R211" s="54" t="s">
        <v>684</v>
      </c>
      <c r="S211" s="57"/>
      <c r="T211" s="57" t="s">
        <v>1722</v>
      </c>
      <c r="U211" s="13"/>
      <c r="V211" s="13"/>
      <c r="W211" s="95" t="s">
        <v>648</v>
      </c>
      <c r="X211" s="67">
        <v>62.01</v>
      </c>
      <c r="Y211" s="60">
        <v>4.05</v>
      </c>
      <c r="Z211" s="60">
        <v>4.05</v>
      </c>
      <c r="AA211" s="61" t="s">
        <v>1420</v>
      </c>
      <c r="AB211" s="18"/>
      <c r="AC211" s="19"/>
      <c r="AD211" s="19"/>
      <c r="AE211" s="19"/>
      <c r="AF211" s="89"/>
      <c r="AG211" s="89"/>
      <c r="AH211" s="89"/>
    </row>
    <row r="212" s="33" customFormat="1" spans="1:34">
      <c r="A212" s="13" t="s">
        <v>39</v>
      </c>
      <c r="B212" s="13" t="s">
        <v>40</v>
      </c>
      <c r="C212" s="13" t="s">
        <v>41</v>
      </c>
      <c r="D212" s="54" t="s">
        <v>624</v>
      </c>
      <c r="E212" s="55"/>
      <c r="F212" s="13" t="s">
        <v>43</v>
      </c>
      <c r="G212" s="13" t="s">
        <v>44</v>
      </c>
      <c r="H212" s="13" t="s">
        <v>45</v>
      </c>
      <c r="I212" s="56" t="s">
        <v>625</v>
      </c>
      <c r="J212" s="54" t="s">
        <v>626</v>
      </c>
      <c r="K212" s="13" t="s">
        <v>628</v>
      </c>
      <c r="L212" s="13"/>
      <c r="M212" s="56" t="s">
        <v>765</v>
      </c>
      <c r="N212" s="54" t="s">
        <v>642</v>
      </c>
      <c r="O212" s="13" t="s">
        <v>643</v>
      </c>
      <c r="P212" s="13">
        <v>13757046168</v>
      </c>
      <c r="Q212" s="54"/>
      <c r="R212" s="54" t="s">
        <v>645</v>
      </c>
      <c r="S212" s="57"/>
      <c r="T212" s="57" t="s">
        <v>1723</v>
      </c>
      <c r="U212" s="13"/>
      <c r="V212" s="13"/>
      <c r="W212" s="95" t="s">
        <v>648</v>
      </c>
      <c r="X212" s="67">
        <v>62.01</v>
      </c>
      <c r="Y212" s="60">
        <v>1.05</v>
      </c>
      <c r="Z212" s="60">
        <v>1.05</v>
      </c>
      <c r="AA212" s="61" t="s">
        <v>1420</v>
      </c>
      <c r="AB212" s="18"/>
      <c r="AC212" s="19"/>
      <c r="AD212" s="19"/>
      <c r="AE212" s="19"/>
      <c r="AF212" s="89"/>
      <c r="AG212" s="89"/>
      <c r="AH212" s="89"/>
    </row>
    <row r="213" s="33" customFormat="1" spans="1:34">
      <c r="A213" s="13" t="s">
        <v>39</v>
      </c>
      <c r="B213" s="13" t="s">
        <v>40</v>
      </c>
      <c r="C213" s="13" t="s">
        <v>41</v>
      </c>
      <c r="D213" s="54" t="s">
        <v>624</v>
      </c>
      <c r="E213" s="55"/>
      <c r="F213" s="13" t="s">
        <v>43</v>
      </c>
      <c r="G213" s="13" t="s">
        <v>44</v>
      </c>
      <c r="H213" s="13" t="s">
        <v>45</v>
      </c>
      <c r="I213" s="56" t="s">
        <v>625</v>
      </c>
      <c r="J213" s="54" t="s">
        <v>626</v>
      </c>
      <c r="K213" s="13" t="s">
        <v>628</v>
      </c>
      <c r="L213" s="13"/>
      <c r="M213" s="56" t="s">
        <v>765</v>
      </c>
      <c r="N213" s="54" t="s">
        <v>642</v>
      </c>
      <c r="O213" s="13" t="s">
        <v>643</v>
      </c>
      <c r="P213" s="13">
        <v>13757046168</v>
      </c>
      <c r="Q213" s="54"/>
      <c r="R213" s="54" t="s">
        <v>645</v>
      </c>
      <c r="S213" s="57"/>
      <c r="T213" s="57" t="s">
        <v>1724</v>
      </c>
      <c r="U213" s="13"/>
      <c r="V213" s="13"/>
      <c r="W213" s="95" t="s">
        <v>648</v>
      </c>
      <c r="X213" s="67">
        <v>62.01</v>
      </c>
      <c r="Y213" s="60">
        <v>1.3</v>
      </c>
      <c r="Z213" s="60">
        <v>1.3</v>
      </c>
      <c r="AA213" s="61" t="s">
        <v>1420</v>
      </c>
      <c r="AB213" s="18"/>
      <c r="AC213" s="19"/>
      <c r="AD213" s="19"/>
      <c r="AE213" s="19"/>
      <c r="AF213" s="89"/>
      <c r="AG213" s="89"/>
      <c r="AH213" s="89"/>
    </row>
    <row r="214" s="33" customFormat="1" spans="1:34">
      <c r="A214" s="13" t="s">
        <v>39</v>
      </c>
      <c r="B214" s="13" t="s">
        <v>40</v>
      </c>
      <c r="C214" s="13" t="s">
        <v>41</v>
      </c>
      <c r="D214" s="54" t="s">
        <v>624</v>
      </c>
      <c r="E214" s="55"/>
      <c r="F214" s="13" t="s">
        <v>43</v>
      </c>
      <c r="G214" s="13" t="s">
        <v>44</v>
      </c>
      <c r="H214" s="13" t="s">
        <v>45</v>
      </c>
      <c r="I214" s="56" t="s">
        <v>625</v>
      </c>
      <c r="J214" s="54" t="s">
        <v>626</v>
      </c>
      <c r="K214" s="13" t="s">
        <v>628</v>
      </c>
      <c r="L214" s="13"/>
      <c r="M214" s="56" t="s">
        <v>765</v>
      </c>
      <c r="N214" s="54" t="s">
        <v>642</v>
      </c>
      <c r="O214" s="13" t="s">
        <v>643</v>
      </c>
      <c r="P214" s="13">
        <v>13757046168</v>
      </c>
      <c r="Q214" s="54"/>
      <c r="R214" s="54" t="s">
        <v>673</v>
      </c>
      <c r="S214" s="57"/>
      <c r="T214" s="57" t="s">
        <v>673</v>
      </c>
      <c r="U214" s="13"/>
      <c r="V214" s="13"/>
      <c r="W214" s="95" t="s">
        <v>648</v>
      </c>
      <c r="X214" s="67">
        <v>62.01</v>
      </c>
      <c r="Y214" s="60">
        <v>20.92</v>
      </c>
      <c r="Z214" s="60">
        <v>20.92</v>
      </c>
      <c r="AA214" s="61" t="s">
        <v>1420</v>
      </c>
      <c r="AB214" s="18"/>
      <c r="AC214" s="19"/>
      <c r="AD214" s="19"/>
      <c r="AE214" s="19"/>
      <c r="AF214" s="89"/>
      <c r="AG214" s="89"/>
      <c r="AH214" s="89"/>
    </row>
    <row r="215" s="33" customFormat="1" spans="1:34">
      <c r="A215" s="13" t="s">
        <v>39</v>
      </c>
      <c r="B215" s="13" t="s">
        <v>40</v>
      </c>
      <c r="C215" s="13" t="s">
        <v>41</v>
      </c>
      <c r="D215" s="54" t="s">
        <v>624</v>
      </c>
      <c r="E215" s="55"/>
      <c r="F215" s="13" t="s">
        <v>43</v>
      </c>
      <c r="G215" s="13" t="s">
        <v>44</v>
      </c>
      <c r="H215" s="13" t="s">
        <v>45</v>
      </c>
      <c r="I215" s="56" t="s">
        <v>625</v>
      </c>
      <c r="J215" s="54" t="s">
        <v>626</v>
      </c>
      <c r="K215" s="13" t="s">
        <v>628</v>
      </c>
      <c r="L215" s="13"/>
      <c r="M215" s="56" t="s">
        <v>765</v>
      </c>
      <c r="N215" s="54" t="s">
        <v>642</v>
      </c>
      <c r="O215" s="13" t="s">
        <v>643</v>
      </c>
      <c r="P215" s="13">
        <v>13757046168</v>
      </c>
      <c r="Q215" s="54"/>
      <c r="R215" s="54" t="s">
        <v>677</v>
      </c>
      <c r="S215" s="57"/>
      <c r="T215" s="57" t="s">
        <v>677</v>
      </c>
      <c r="U215" s="13"/>
      <c r="V215" s="13"/>
      <c r="W215" s="95" t="s">
        <v>680</v>
      </c>
      <c r="X215" s="59">
        <v>0.276</v>
      </c>
      <c r="Y215" s="60">
        <v>0.4</v>
      </c>
      <c r="Z215" s="60">
        <v>0.34</v>
      </c>
      <c r="AA215" s="61" t="s">
        <v>1420</v>
      </c>
      <c r="AB215" s="18"/>
      <c r="AC215" s="19"/>
      <c r="AD215" s="19"/>
      <c r="AE215" s="19"/>
      <c r="AF215" s="89"/>
      <c r="AG215" s="89"/>
      <c r="AH215" s="89"/>
    </row>
    <row r="216" s="33" customFormat="1" spans="1:34">
      <c r="A216" s="13" t="s">
        <v>39</v>
      </c>
      <c r="B216" s="13" t="s">
        <v>40</v>
      </c>
      <c r="C216" s="13" t="s">
        <v>41</v>
      </c>
      <c r="D216" s="54" t="s">
        <v>624</v>
      </c>
      <c r="E216" s="55"/>
      <c r="F216" s="13" t="s">
        <v>43</v>
      </c>
      <c r="G216" s="13" t="s">
        <v>44</v>
      </c>
      <c r="H216" s="13" t="s">
        <v>45</v>
      </c>
      <c r="I216" s="56" t="s">
        <v>625</v>
      </c>
      <c r="J216" s="54" t="s">
        <v>626</v>
      </c>
      <c r="K216" s="13" t="s">
        <v>628</v>
      </c>
      <c r="L216" s="13"/>
      <c r="M216" s="56" t="s">
        <v>765</v>
      </c>
      <c r="N216" s="54" t="s">
        <v>642</v>
      </c>
      <c r="O216" s="13" t="s">
        <v>643</v>
      </c>
      <c r="P216" s="13">
        <v>13757046168</v>
      </c>
      <c r="Q216" s="54"/>
      <c r="R216" s="54" t="s">
        <v>677</v>
      </c>
      <c r="S216" s="57"/>
      <c r="T216" s="57" t="s">
        <v>1725</v>
      </c>
      <c r="U216" s="13"/>
      <c r="V216" s="13"/>
      <c r="W216" s="95" t="s">
        <v>648</v>
      </c>
      <c r="X216" s="67">
        <v>62.01</v>
      </c>
      <c r="Y216" s="60">
        <v>1.75</v>
      </c>
      <c r="Z216" s="60">
        <v>1.75</v>
      </c>
      <c r="AA216" s="61" t="s">
        <v>1420</v>
      </c>
      <c r="AB216" s="18"/>
      <c r="AC216" s="19"/>
      <c r="AD216" s="19"/>
      <c r="AE216" s="19"/>
      <c r="AF216" s="89"/>
      <c r="AG216" s="89"/>
      <c r="AH216" s="89"/>
    </row>
    <row r="217" s="33" customFormat="1" spans="1:34">
      <c r="A217" s="13" t="s">
        <v>39</v>
      </c>
      <c r="B217" s="13" t="s">
        <v>40</v>
      </c>
      <c r="C217" s="13" t="s">
        <v>41</v>
      </c>
      <c r="D217" s="54" t="s">
        <v>624</v>
      </c>
      <c r="E217" s="55"/>
      <c r="F217" s="13" t="s">
        <v>43</v>
      </c>
      <c r="G217" s="13" t="s">
        <v>44</v>
      </c>
      <c r="H217" s="13" t="s">
        <v>45</v>
      </c>
      <c r="I217" s="56" t="s">
        <v>625</v>
      </c>
      <c r="J217" s="54" t="s">
        <v>626</v>
      </c>
      <c r="K217" s="13" t="s">
        <v>628</v>
      </c>
      <c r="L217" s="13"/>
      <c r="M217" s="56" t="s">
        <v>765</v>
      </c>
      <c r="N217" s="54" t="s">
        <v>642</v>
      </c>
      <c r="O217" s="13" t="s">
        <v>643</v>
      </c>
      <c r="P217" s="13">
        <v>13757046168</v>
      </c>
      <c r="Q217" s="54"/>
      <c r="R217" s="54" t="s">
        <v>645</v>
      </c>
      <c r="S217" s="57"/>
      <c r="T217" s="57" t="s">
        <v>1726</v>
      </c>
      <c r="U217" s="13"/>
      <c r="V217" s="13"/>
      <c r="W217" s="95" t="s">
        <v>648</v>
      </c>
      <c r="X217" s="67">
        <v>62.01</v>
      </c>
      <c r="Y217" s="60">
        <v>4.93</v>
      </c>
      <c r="Z217" s="60">
        <v>3.68</v>
      </c>
      <c r="AA217" s="61" t="s">
        <v>1420</v>
      </c>
      <c r="AB217" s="18"/>
      <c r="AC217" s="19"/>
      <c r="AD217" s="19"/>
      <c r="AE217" s="19"/>
      <c r="AF217" s="89"/>
      <c r="AG217" s="89"/>
      <c r="AH217" s="89"/>
    </row>
    <row r="218" s="33" customFormat="1" spans="1:34">
      <c r="A218" s="13" t="s">
        <v>39</v>
      </c>
      <c r="B218" s="13" t="s">
        <v>40</v>
      </c>
      <c r="C218" s="13" t="s">
        <v>41</v>
      </c>
      <c r="D218" s="54" t="s">
        <v>624</v>
      </c>
      <c r="E218" s="55"/>
      <c r="F218" s="13" t="s">
        <v>43</v>
      </c>
      <c r="G218" s="13" t="s">
        <v>44</v>
      </c>
      <c r="H218" s="13" t="s">
        <v>45</v>
      </c>
      <c r="I218" s="56" t="s">
        <v>625</v>
      </c>
      <c r="J218" s="54" t="s">
        <v>626</v>
      </c>
      <c r="K218" s="13" t="s">
        <v>628</v>
      </c>
      <c r="L218" s="13"/>
      <c r="M218" s="56" t="s">
        <v>765</v>
      </c>
      <c r="N218" s="54" t="s">
        <v>642</v>
      </c>
      <c r="O218" s="13" t="s">
        <v>643</v>
      </c>
      <c r="P218" s="13">
        <v>13757046168</v>
      </c>
      <c r="Q218" s="54"/>
      <c r="R218" s="54" t="s">
        <v>664</v>
      </c>
      <c r="S218" s="57"/>
      <c r="T218" s="57" t="s">
        <v>1727</v>
      </c>
      <c r="U218" s="13"/>
      <c r="V218" s="13"/>
      <c r="W218" s="95" t="s">
        <v>669</v>
      </c>
      <c r="X218" s="67">
        <v>5.73</v>
      </c>
      <c r="Y218" s="60">
        <v>3.79</v>
      </c>
      <c r="Z218" s="60">
        <v>3.79</v>
      </c>
      <c r="AA218" s="61" t="s">
        <v>1420</v>
      </c>
      <c r="AB218" s="18"/>
      <c r="AC218" s="19"/>
      <c r="AD218" s="19"/>
      <c r="AE218" s="19"/>
      <c r="AF218" s="89"/>
      <c r="AG218" s="89"/>
      <c r="AH218" s="89"/>
    </row>
    <row r="219" s="33" customFormat="1" spans="1:34">
      <c r="A219" s="13" t="s">
        <v>39</v>
      </c>
      <c r="B219" s="13" t="s">
        <v>40</v>
      </c>
      <c r="C219" s="13" t="s">
        <v>41</v>
      </c>
      <c r="D219" s="54" t="s">
        <v>624</v>
      </c>
      <c r="E219" s="55"/>
      <c r="F219" s="13" t="s">
        <v>43</v>
      </c>
      <c r="G219" s="13" t="s">
        <v>44</v>
      </c>
      <c r="H219" s="13" t="s">
        <v>45</v>
      </c>
      <c r="I219" s="56" t="s">
        <v>625</v>
      </c>
      <c r="J219" s="54" t="s">
        <v>626</v>
      </c>
      <c r="K219" s="13" t="s">
        <v>628</v>
      </c>
      <c r="L219" s="13"/>
      <c r="M219" s="56" t="s">
        <v>765</v>
      </c>
      <c r="N219" s="54" t="s">
        <v>642</v>
      </c>
      <c r="O219" s="13" t="s">
        <v>643</v>
      </c>
      <c r="P219" s="13">
        <v>13757046168</v>
      </c>
      <c r="Q219" s="54"/>
      <c r="R219" s="54" t="s">
        <v>664</v>
      </c>
      <c r="S219" s="57"/>
      <c r="T219" s="57" t="s">
        <v>1728</v>
      </c>
      <c r="U219" s="13"/>
      <c r="V219" s="13"/>
      <c r="W219" s="95" t="s">
        <v>669</v>
      </c>
      <c r="X219" s="67">
        <v>5.73</v>
      </c>
      <c r="Y219" s="60">
        <v>0.74</v>
      </c>
      <c r="Z219" s="60">
        <v>0.74</v>
      </c>
      <c r="AA219" s="61" t="s">
        <v>1420</v>
      </c>
      <c r="AB219" s="18"/>
      <c r="AC219" s="19"/>
      <c r="AD219" s="19"/>
      <c r="AE219" s="19"/>
      <c r="AF219" s="89"/>
      <c r="AG219" s="89"/>
      <c r="AH219" s="89"/>
    </row>
    <row r="220" s="33" customFormat="1" spans="1:34">
      <c r="A220" s="13" t="s">
        <v>39</v>
      </c>
      <c r="B220" s="13" t="s">
        <v>40</v>
      </c>
      <c r="C220" s="13" t="s">
        <v>41</v>
      </c>
      <c r="D220" s="54" t="s">
        <v>624</v>
      </c>
      <c r="E220" s="55"/>
      <c r="F220" s="13" t="s">
        <v>43</v>
      </c>
      <c r="G220" s="13" t="s">
        <v>44</v>
      </c>
      <c r="H220" s="13" t="s">
        <v>45</v>
      </c>
      <c r="I220" s="56" t="s">
        <v>625</v>
      </c>
      <c r="J220" s="54" t="s">
        <v>626</v>
      </c>
      <c r="K220" s="13" t="s">
        <v>628</v>
      </c>
      <c r="L220" s="13"/>
      <c r="M220" s="56" t="s">
        <v>765</v>
      </c>
      <c r="N220" s="54" t="s">
        <v>642</v>
      </c>
      <c r="O220" s="13" t="s">
        <v>643</v>
      </c>
      <c r="P220" s="13">
        <v>13757046168</v>
      </c>
      <c r="Q220" s="54"/>
      <c r="R220" s="54" t="s">
        <v>664</v>
      </c>
      <c r="S220" s="57"/>
      <c r="T220" s="57" t="s">
        <v>1729</v>
      </c>
      <c r="U220" s="13"/>
      <c r="V220" s="13"/>
      <c r="W220" s="95" t="s">
        <v>669</v>
      </c>
      <c r="X220" s="67">
        <v>5.73</v>
      </c>
      <c r="Y220" s="60">
        <v>0.98</v>
      </c>
      <c r="Z220" s="60">
        <v>0.8</v>
      </c>
      <c r="AA220" s="61" t="s">
        <v>1420</v>
      </c>
      <c r="AB220" s="18"/>
      <c r="AC220" s="19"/>
      <c r="AD220" s="19"/>
      <c r="AE220" s="19"/>
      <c r="AF220" s="89"/>
      <c r="AG220" s="89"/>
      <c r="AH220" s="89"/>
    </row>
    <row r="221" s="33" customFormat="1" spans="1:34">
      <c r="A221" s="13" t="s">
        <v>39</v>
      </c>
      <c r="B221" s="13" t="s">
        <v>40</v>
      </c>
      <c r="C221" s="13" t="s">
        <v>41</v>
      </c>
      <c r="D221" s="54" t="s">
        <v>624</v>
      </c>
      <c r="E221" s="55"/>
      <c r="F221" s="13" t="s">
        <v>43</v>
      </c>
      <c r="G221" s="13" t="s">
        <v>44</v>
      </c>
      <c r="H221" s="13" t="s">
        <v>45</v>
      </c>
      <c r="I221" s="56" t="s">
        <v>625</v>
      </c>
      <c r="J221" s="54" t="s">
        <v>626</v>
      </c>
      <c r="K221" s="13" t="s">
        <v>628</v>
      </c>
      <c r="L221" s="13"/>
      <c r="M221" s="56" t="s">
        <v>765</v>
      </c>
      <c r="N221" s="54" t="s">
        <v>642</v>
      </c>
      <c r="O221" s="13" t="s">
        <v>643</v>
      </c>
      <c r="P221" s="13">
        <v>13757046168</v>
      </c>
      <c r="Q221" s="54"/>
      <c r="R221" s="54" t="s">
        <v>664</v>
      </c>
      <c r="S221" s="57"/>
      <c r="T221" s="57" t="s">
        <v>1730</v>
      </c>
      <c r="U221" s="13"/>
      <c r="V221" s="13"/>
      <c r="W221" s="95" t="s">
        <v>648</v>
      </c>
      <c r="X221" s="67">
        <v>62.01</v>
      </c>
      <c r="Y221" s="60">
        <v>5.79</v>
      </c>
      <c r="Z221" s="60">
        <v>4.14</v>
      </c>
      <c r="AA221" s="61" t="s">
        <v>1420</v>
      </c>
      <c r="AB221" s="18"/>
      <c r="AC221" s="19"/>
      <c r="AD221" s="19"/>
      <c r="AE221" s="19"/>
      <c r="AF221" s="89"/>
      <c r="AG221" s="89"/>
      <c r="AH221" s="89"/>
    </row>
    <row r="222" s="33" customFormat="1" spans="1:34">
      <c r="A222" s="13" t="s">
        <v>39</v>
      </c>
      <c r="B222" s="13" t="s">
        <v>40</v>
      </c>
      <c r="C222" s="13" t="s">
        <v>41</v>
      </c>
      <c r="D222" s="54" t="s">
        <v>624</v>
      </c>
      <c r="E222" s="55"/>
      <c r="F222" s="13" t="s">
        <v>43</v>
      </c>
      <c r="G222" s="13" t="s">
        <v>44</v>
      </c>
      <c r="H222" s="13" t="s">
        <v>45</v>
      </c>
      <c r="I222" s="56" t="s">
        <v>625</v>
      </c>
      <c r="J222" s="54" t="s">
        <v>626</v>
      </c>
      <c r="K222" s="13" t="s">
        <v>628</v>
      </c>
      <c r="L222" s="13"/>
      <c r="M222" s="56" t="s">
        <v>801</v>
      </c>
      <c r="N222" s="54" t="s">
        <v>802</v>
      </c>
      <c r="O222" s="13" t="s">
        <v>803</v>
      </c>
      <c r="P222" s="13">
        <v>13656703491</v>
      </c>
      <c r="Q222" s="54" t="s">
        <v>804</v>
      </c>
      <c r="R222" s="54" t="s">
        <v>821</v>
      </c>
      <c r="S222" s="57" t="s">
        <v>806</v>
      </c>
      <c r="T222" s="57" t="s">
        <v>821</v>
      </c>
      <c r="U222" s="13" t="s">
        <v>1686</v>
      </c>
      <c r="V222" s="13" t="s">
        <v>1731</v>
      </c>
      <c r="W222" s="13" t="s">
        <v>355</v>
      </c>
      <c r="X222" s="79">
        <v>2392.78</v>
      </c>
      <c r="Y222" s="60">
        <v>49.18</v>
      </c>
      <c r="Z222" s="60">
        <v>47.77</v>
      </c>
      <c r="AA222" s="61" t="s">
        <v>1420</v>
      </c>
      <c r="AB222" s="18"/>
      <c r="AC222" s="19"/>
      <c r="AD222" s="19"/>
      <c r="AE222" s="19"/>
      <c r="AF222" s="38"/>
      <c r="AG222" s="38"/>
      <c r="AH222" s="38"/>
    </row>
    <row r="223" s="33" customFormat="1" spans="1:34">
      <c r="A223" s="13" t="s">
        <v>39</v>
      </c>
      <c r="B223" s="13" t="s">
        <v>40</v>
      </c>
      <c r="C223" s="13" t="s">
        <v>41</v>
      </c>
      <c r="D223" s="54" t="s">
        <v>624</v>
      </c>
      <c r="E223" s="55"/>
      <c r="F223" s="13" t="s">
        <v>43</v>
      </c>
      <c r="G223" s="13" t="s">
        <v>44</v>
      </c>
      <c r="H223" s="13" t="s">
        <v>45</v>
      </c>
      <c r="I223" s="56" t="s">
        <v>625</v>
      </c>
      <c r="J223" s="54" t="s">
        <v>626</v>
      </c>
      <c r="K223" s="13" t="s">
        <v>628</v>
      </c>
      <c r="L223" s="13"/>
      <c r="M223" s="56" t="s">
        <v>801</v>
      </c>
      <c r="N223" s="54" t="s">
        <v>802</v>
      </c>
      <c r="O223" s="13" t="s">
        <v>803</v>
      </c>
      <c r="P223" s="13">
        <v>13656703491</v>
      </c>
      <c r="Q223" s="54" t="s">
        <v>808</v>
      </c>
      <c r="R223" s="54" t="s">
        <v>1732</v>
      </c>
      <c r="S223" s="57" t="s">
        <v>810</v>
      </c>
      <c r="T223" s="57" t="s">
        <v>1733</v>
      </c>
      <c r="U223" s="13" t="s">
        <v>1686</v>
      </c>
      <c r="V223" s="13" t="s">
        <v>1731</v>
      </c>
      <c r="W223" s="13" t="s">
        <v>355</v>
      </c>
      <c r="X223" s="79">
        <v>2392.78</v>
      </c>
      <c r="Y223" s="60">
        <v>38.11</v>
      </c>
      <c r="Z223" s="65"/>
      <c r="AA223" s="61" t="s">
        <v>1420</v>
      </c>
      <c r="AB223" s="18"/>
      <c r="AC223" s="19"/>
      <c r="AD223" s="19"/>
      <c r="AE223" s="19"/>
      <c r="AF223" s="38"/>
      <c r="AG223" s="38"/>
      <c r="AH223" s="38"/>
    </row>
    <row r="224" s="33" customFormat="1" spans="1:34">
      <c r="A224" s="13" t="s">
        <v>39</v>
      </c>
      <c r="B224" s="13" t="s">
        <v>40</v>
      </c>
      <c r="C224" s="13" t="s">
        <v>41</v>
      </c>
      <c r="D224" s="54" t="s">
        <v>624</v>
      </c>
      <c r="E224" s="55"/>
      <c r="F224" s="13" t="s">
        <v>43</v>
      </c>
      <c r="G224" s="13" t="s">
        <v>44</v>
      </c>
      <c r="H224" s="13" t="s">
        <v>45</v>
      </c>
      <c r="I224" s="56" t="s">
        <v>625</v>
      </c>
      <c r="J224" s="54" t="s">
        <v>626</v>
      </c>
      <c r="K224" s="13" t="s">
        <v>628</v>
      </c>
      <c r="L224" s="13"/>
      <c r="M224" s="56" t="s">
        <v>801</v>
      </c>
      <c r="N224" s="54" t="s">
        <v>802</v>
      </c>
      <c r="O224" s="13" t="s">
        <v>803</v>
      </c>
      <c r="P224" s="13">
        <v>13656703491</v>
      </c>
      <c r="Q224" s="54" t="s">
        <v>812</v>
      </c>
      <c r="R224" s="54" t="s">
        <v>817</v>
      </c>
      <c r="S224" s="57" t="s">
        <v>814</v>
      </c>
      <c r="T224" s="57" t="s">
        <v>817</v>
      </c>
      <c r="U224" s="13" t="s">
        <v>1686</v>
      </c>
      <c r="V224" s="13" t="s">
        <v>1731</v>
      </c>
      <c r="W224" s="13" t="s">
        <v>355</v>
      </c>
      <c r="X224" s="79">
        <v>2392.78</v>
      </c>
      <c r="Y224" s="60">
        <v>92.57</v>
      </c>
      <c r="Z224" s="60">
        <v>92.59</v>
      </c>
      <c r="AA224" s="61" t="s">
        <v>1420</v>
      </c>
      <c r="AB224" s="18"/>
      <c r="AC224" s="19"/>
      <c r="AD224" s="19"/>
      <c r="AE224" s="19"/>
      <c r="AF224" s="38"/>
      <c r="AG224" s="38"/>
      <c r="AH224" s="38"/>
    </row>
    <row r="225" s="33" customFormat="1" spans="1:34">
      <c r="A225" s="13" t="s">
        <v>39</v>
      </c>
      <c r="B225" s="13" t="s">
        <v>40</v>
      </c>
      <c r="C225" s="13" t="s">
        <v>41</v>
      </c>
      <c r="D225" s="54" t="s">
        <v>624</v>
      </c>
      <c r="E225" s="55"/>
      <c r="F225" s="13" t="s">
        <v>43</v>
      </c>
      <c r="G225" s="13" t="s">
        <v>44</v>
      </c>
      <c r="H225" s="13" t="s">
        <v>45</v>
      </c>
      <c r="I225" s="56" t="s">
        <v>625</v>
      </c>
      <c r="J225" s="54" t="s">
        <v>626</v>
      </c>
      <c r="K225" s="13" t="s">
        <v>628</v>
      </c>
      <c r="L225" s="13"/>
      <c r="M225" s="56" t="s">
        <v>801</v>
      </c>
      <c r="N225" s="54" t="s">
        <v>802</v>
      </c>
      <c r="O225" s="13" t="s">
        <v>803</v>
      </c>
      <c r="P225" s="13">
        <v>13656703491</v>
      </c>
      <c r="Q225" s="54" t="s">
        <v>816</v>
      </c>
      <c r="R225" s="54" t="s">
        <v>831</v>
      </c>
      <c r="S225" s="57" t="s">
        <v>818</v>
      </c>
      <c r="T225" s="57" t="s">
        <v>1734</v>
      </c>
      <c r="U225" s="13" t="s">
        <v>1686</v>
      </c>
      <c r="V225" s="13" t="s">
        <v>1731</v>
      </c>
      <c r="W225" s="13" t="s">
        <v>696</v>
      </c>
      <c r="X225" s="67">
        <v>251.4</v>
      </c>
      <c r="Y225" s="60">
        <v>3.47</v>
      </c>
      <c r="Z225" s="60">
        <v>3.48</v>
      </c>
      <c r="AA225" s="61" t="s">
        <v>1474</v>
      </c>
      <c r="AB225" s="18"/>
      <c r="AC225" s="19"/>
      <c r="AD225" s="19"/>
      <c r="AE225" s="19"/>
      <c r="AF225" s="38"/>
      <c r="AG225" s="38"/>
      <c r="AH225" s="38"/>
    </row>
    <row r="226" s="33" customFormat="1" spans="1:34">
      <c r="A226" s="13" t="s">
        <v>39</v>
      </c>
      <c r="B226" s="13" t="s">
        <v>40</v>
      </c>
      <c r="C226" s="13" t="s">
        <v>41</v>
      </c>
      <c r="D226" s="54" t="s">
        <v>624</v>
      </c>
      <c r="E226" s="55"/>
      <c r="F226" s="13" t="s">
        <v>43</v>
      </c>
      <c r="G226" s="13" t="s">
        <v>44</v>
      </c>
      <c r="H226" s="13" t="s">
        <v>45</v>
      </c>
      <c r="I226" s="56" t="s">
        <v>625</v>
      </c>
      <c r="J226" s="54" t="s">
        <v>626</v>
      </c>
      <c r="K226" s="13" t="s">
        <v>628</v>
      </c>
      <c r="L226" s="13"/>
      <c r="M226" s="56" t="s">
        <v>801</v>
      </c>
      <c r="N226" s="54" t="s">
        <v>802</v>
      </c>
      <c r="O226" s="13" t="s">
        <v>803</v>
      </c>
      <c r="P226" s="13">
        <v>13656703491</v>
      </c>
      <c r="Q226" s="54" t="s">
        <v>820</v>
      </c>
      <c r="R226" s="54" t="s">
        <v>825</v>
      </c>
      <c r="S226" s="57" t="s">
        <v>822</v>
      </c>
      <c r="T226" s="57" t="s">
        <v>1735</v>
      </c>
      <c r="U226" s="13" t="s">
        <v>1686</v>
      </c>
      <c r="V226" s="13" t="s">
        <v>1731</v>
      </c>
      <c r="W226" s="13" t="s">
        <v>696</v>
      </c>
      <c r="X226" s="67">
        <v>251.4</v>
      </c>
      <c r="Y226" s="60">
        <v>10.38</v>
      </c>
      <c r="Z226" s="60">
        <v>10.38</v>
      </c>
      <c r="AA226" s="61" t="s">
        <v>1474</v>
      </c>
      <c r="AB226" s="18"/>
      <c r="AC226" s="19"/>
      <c r="AD226" s="19"/>
      <c r="AE226" s="19"/>
      <c r="AF226" s="38"/>
      <c r="AG226" s="38"/>
      <c r="AH226" s="38"/>
    </row>
    <row r="227" s="33" customFormat="1" spans="1:34">
      <c r="A227" s="13" t="s">
        <v>39</v>
      </c>
      <c r="B227" s="13" t="s">
        <v>40</v>
      </c>
      <c r="C227" s="13" t="s">
        <v>41</v>
      </c>
      <c r="D227" s="54" t="s">
        <v>624</v>
      </c>
      <c r="E227" s="55"/>
      <c r="F227" s="13" t="s">
        <v>43</v>
      </c>
      <c r="G227" s="13" t="s">
        <v>44</v>
      </c>
      <c r="H227" s="13" t="s">
        <v>45</v>
      </c>
      <c r="I227" s="56" t="s">
        <v>625</v>
      </c>
      <c r="J227" s="54" t="s">
        <v>626</v>
      </c>
      <c r="K227" s="13" t="s">
        <v>628</v>
      </c>
      <c r="L227" s="13"/>
      <c r="M227" s="56" t="s">
        <v>801</v>
      </c>
      <c r="N227" s="54" t="s">
        <v>802</v>
      </c>
      <c r="O227" s="13" t="s">
        <v>803</v>
      </c>
      <c r="P227" s="13">
        <v>13656703491</v>
      </c>
      <c r="Q227" s="54" t="s">
        <v>820</v>
      </c>
      <c r="R227" s="54" t="s">
        <v>825</v>
      </c>
      <c r="S227" s="57" t="s">
        <v>1736</v>
      </c>
      <c r="T227" s="57" t="s">
        <v>1737</v>
      </c>
      <c r="U227" s="13" t="s">
        <v>1686</v>
      </c>
      <c r="V227" s="13" t="s">
        <v>1731</v>
      </c>
      <c r="W227" s="13" t="s">
        <v>355</v>
      </c>
      <c r="X227" s="79">
        <v>2392.78</v>
      </c>
      <c r="Y227" s="60">
        <v>260.76</v>
      </c>
      <c r="Z227" s="60">
        <v>256.5</v>
      </c>
      <c r="AA227" s="61" t="s">
        <v>1420</v>
      </c>
      <c r="AB227" s="18"/>
      <c r="AC227" s="19"/>
      <c r="AD227" s="19"/>
      <c r="AE227" s="19"/>
      <c r="AF227" s="38"/>
      <c r="AG227" s="38"/>
      <c r="AH227" s="38"/>
    </row>
    <row r="228" spans="1:34">
      <c r="A228" s="13" t="s">
        <v>39</v>
      </c>
      <c r="B228" s="13" t="s">
        <v>40</v>
      </c>
      <c r="C228" s="13" t="s">
        <v>41</v>
      </c>
      <c r="D228" s="54" t="s">
        <v>624</v>
      </c>
      <c r="E228" s="55"/>
      <c r="F228" s="13" t="s">
        <v>43</v>
      </c>
      <c r="G228" s="13" t="s">
        <v>44</v>
      </c>
      <c r="H228" s="13" t="s">
        <v>45</v>
      </c>
      <c r="I228" s="11" t="s">
        <v>625</v>
      </c>
      <c r="J228" s="54" t="s">
        <v>626</v>
      </c>
      <c r="K228" s="13" t="s">
        <v>628</v>
      </c>
      <c r="L228" s="13"/>
      <c r="M228" s="11" t="s">
        <v>801</v>
      </c>
      <c r="N228" s="54" t="s">
        <v>802</v>
      </c>
      <c r="O228" s="13" t="s">
        <v>803</v>
      </c>
      <c r="P228" s="13">
        <v>13656703491</v>
      </c>
      <c r="Q228" s="54" t="s">
        <v>824</v>
      </c>
      <c r="R228" s="54" t="s">
        <v>514</v>
      </c>
      <c r="S228" s="57" t="s">
        <v>828</v>
      </c>
      <c r="T228" s="57" t="s">
        <v>1738</v>
      </c>
      <c r="U228" s="64" t="s">
        <v>1686</v>
      </c>
      <c r="V228" s="13" t="s">
        <v>1731</v>
      </c>
      <c r="W228" s="64" t="s">
        <v>1739</v>
      </c>
      <c r="X228" s="67">
        <v>50</v>
      </c>
      <c r="Y228" s="60">
        <v>58.42</v>
      </c>
      <c r="Z228" s="60">
        <v>0</v>
      </c>
      <c r="AA228" s="61" t="s">
        <v>1420</v>
      </c>
      <c r="AB228" s="18"/>
      <c r="AC228" s="19"/>
      <c r="AD228" s="19"/>
      <c r="AE228" s="19"/>
    </row>
    <row r="229" s="33" customFormat="1" spans="1:34">
      <c r="A229" s="13" t="s">
        <v>39</v>
      </c>
      <c r="B229" s="13" t="s">
        <v>40</v>
      </c>
      <c r="C229" s="13" t="s">
        <v>41</v>
      </c>
      <c r="D229" s="54" t="s">
        <v>624</v>
      </c>
      <c r="E229" s="55"/>
      <c r="F229" s="13" t="s">
        <v>43</v>
      </c>
      <c r="G229" s="13" t="s">
        <v>44</v>
      </c>
      <c r="H229" s="13" t="s">
        <v>45</v>
      </c>
      <c r="I229" s="56" t="s">
        <v>625</v>
      </c>
      <c r="J229" s="54" t="s">
        <v>626</v>
      </c>
      <c r="K229" s="13" t="s">
        <v>628</v>
      </c>
      <c r="L229" s="13"/>
      <c r="M229" s="56" t="s">
        <v>801</v>
      </c>
      <c r="N229" s="54" t="s">
        <v>802</v>
      </c>
      <c r="O229" s="13" t="s">
        <v>803</v>
      </c>
      <c r="P229" s="13">
        <v>13656703491</v>
      </c>
      <c r="Q229" s="54" t="s">
        <v>830</v>
      </c>
      <c r="R229" s="54" t="s">
        <v>809</v>
      </c>
      <c r="S229" s="57" t="s">
        <v>832</v>
      </c>
      <c r="T229" s="57" t="s">
        <v>809</v>
      </c>
      <c r="U229" s="13" t="s">
        <v>1686</v>
      </c>
      <c r="V229" s="13" t="s">
        <v>1731</v>
      </c>
      <c r="W229" s="13" t="s">
        <v>355</v>
      </c>
      <c r="X229" s="79">
        <v>2392.78</v>
      </c>
      <c r="Y229" s="60">
        <v>108.44</v>
      </c>
      <c r="Z229" s="60">
        <v>107.06</v>
      </c>
      <c r="AA229" s="61" t="s">
        <v>1420</v>
      </c>
      <c r="AB229" s="18"/>
      <c r="AC229" s="19"/>
      <c r="AD229" s="19"/>
      <c r="AE229" s="19"/>
      <c r="AF229" s="38"/>
      <c r="AG229" s="38"/>
      <c r="AH229" s="38"/>
    </row>
    <row r="230" s="33" customFormat="1" spans="1:34">
      <c r="A230" s="13" t="s">
        <v>39</v>
      </c>
      <c r="B230" s="13" t="s">
        <v>40</v>
      </c>
      <c r="C230" s="13" t="s">
        <v>41</v>
      </c>
      <c r="D230" s="54" t="s">
        <v>624</v>
      </c>
      <c r="E230" s="55"/>
      <c r="F230" s="13" t="s">
        <v>43</v>
      </c>
      <c r="G230" s="13" t="s">
        <v>44</v>
      </c>
      <c r="H230" s="13" t="s">
        <v>45</v>
      </c>
      <c r="I230" s="56" t="s">
        <v>625</v>
      </c>
      <c r="J230" s="54" t="s">
        <v>626</v>
      </c>
      <c r="K230" s="13" t="s">
        <v>628</v>
      </c>
      <c r="L230" s="13"/>
      <c r="M230" s="56" t="s">
        <v>801</v>
      </c>
      <c r="N230" s="54" t="s">
        <v>802</v>
      </c>
      <c r="O230" s="13" t="s">
        <v>803</v>
      </c>
      <c r="P230" s="13">
        <v>13656703491</v>
      </c>
      <c r="Q230" s="54" t="s">
        <v>834</v>
      </c>
      <c r="R230" s="54" t="s">
        <v>805</v>
      </c>
      <c r="S230" s="57" t="s">
        <v>835</v>
      </c>
      <c r="T230" s="57" t="s">
        <v>805</v>
      </c>
      <c r="U230" s="13" t="s">
        <v>1686</v>
      </c>
      <c r="V230" s="13" t="s">
        <v>1731</v>
      </c>
      <c r="W230" s="13" t="s">
        <v>355</v>
      </c>
      <c r="X230" s="79">
        <v>2392.78</v>
      </c>
      <c r="Y230" s="60">
        <v>108.85</v>
      </c>
      <c r="Z230" s="60">
        <v>108.87</v>
      </c>
      <c r="AA230" s="61" t="s">
        <v>1420</v>
      </c>
      <c r="AB230" s="18"/>
      <c r="AC230" s="19"/>
      <c r="AD230" s="19"/>
      <c r="AE230" s="19"/>
      <c r="AF230" s="38"/>
      <c r="AG230" s="38"/>
      <c r="AH230" s="38"/>
    </row>
    <row r="231" spans="1:34">
      <c r="A231" s="13" t="s">
        <v>39</v>
      </c>
      <c r="B231" s="13" t="s">
        <v>40</v>
      </c>
      <c r="C231" s="13" t="s">
        <v>41</v>
      </c>
      <c r="D231" s="54" t="s">
        <v>624</v>
      </c>
      <c r="E231" s="55"/>
      <c r="F231" s="13" t="s">
        <v>43</v>
      </c>
      <c r="G231" s="13" t="s">
        <v>44</v>
      </c>
      <c r="H231" s="13" t="s">
        <v>45</v>
      </c>
      <c r="I231" s="11" t="s">
        <v>625</v>
      </c>
      <c r="J231" s="54" t="s">
        <v>626</v>
      </c>
      <c r="K231" s="13" t="s">
        <v>628</v>
      </c>
      <c r="L231" s="13"/>
      <c r="M231" s="11" t="s">
        <v>836</v>
      </c>
      <c r="N231" s="54" t="s">
        <v>630</v>
      </c>
      <c r="O231" s="13" t="s">
        <v>631</v>
      </c>
      <c r="P231" s="13">
        <v>18405791117</v>
      </c>
      <c r="Q231" s="54" t="s">
        <v>838</v>
      </c>
      <c r="R231" s="54" t="s">
        <v>633</v>
      </c>
      <c r="S231" s="57" t="s">
        <v>840</v>
      </c>
      <c r="T231" s="57" t="s">
        <v>633</v>
      </c>
      <c r="U231" s="64" t="s">
        <v>1686</v>
      </c>
      <c r="V231" s="13" t="s">
        <v>1731</v>
      </c>
      <c r="W231" s="64" t="s">
        <v>355</v>
      </c>
      <c r="X231" s="79">
        <v>2392.78</v>
      </c>
      <c r="Y231" s="60">
        <v>277.98</v>
      </c>
      <c r="Z231" s="60">
        <v>263.94</v>
      </c>
      <c r="AA231" s="61" t="s">
        <v>1420</v>
      </c>
      <c r="AB231" s="18"/>
      <c r="AC231" s="19"/>
      <c r="AD231" s="19"/>
      <c r="AE231" s="19"/>
    </row>
    <row r="232" spans="1:34">
      <c r="A232" s="13" t="s">
        <v>39</v>
      </c>
      <c r="B232" s="13" t="s">
        <v>40</v>
      </c>
      <c r="C232" s="13" t="s">
        <v>41</v>
      </c>
      <c r="D232" s="54" t="s">
        <v>624</v>
      </c>
      <c r="E232" s="55"/>
      <c r="F232" s="13" t="s">
        <v>43</v>
      </c>
      <c r="G232" s="13" t="s">
        <v>44</v>
      </c>
      <c r="H232" s="13" t="s">
        <v>45</v>
      </c>
      <c r="I232" s="11" t="s">
        <v>625</v>
      </c>
      <c r="J232" s="54" t="s">
        <v>626</v>
      </c>
      <c r="K232" s="13" t="s">
        <v>628</v>
      </c>
      <c r="L232" s="13"/>
      <c r="M232" s="11" t="s">
        <v>836</v>
      </c>
      <c r="N232" s="54" t="s">
        <v>630</v>
      </c>
      <c r="O232" s="13" t="s">
        <v>631</v>
      </c>
      <c r="P232" s="13">
        <v>18405791117</v>
      </c>
      <c r="Q232" s="54" t="s">
        <v>1740</v>
      </c>
      <c r="R232" s="54" t="s">
        <v>637</v>
      </c>
      <c r="S232" s="57" t="s">
        <v>1741</v>
      </c>
      <c r="T232" s="57" t="s">
        <v>637</v>
      </c>
      <c r="U232" s="64" t="s">
        <v>1686</v>
      </c>
      <c r="V232" s="13" t="s">
        <v>1731</v>
      </c>
      <c r="W232" s="64" t="s">
        <v>640</v>
      </c>
      <c r="X232" s="67">
        <v>41.304</v>
      </c>
      <c r="Y232" s="60">
        <v>40.71</v>
      </c>
      <c r="Z232" s="60">
        <v>39.22</v>
      </c>
      <c r="AA232" s="61" t="s">
        <v>1420</v>
      </c>
      <c r="AB232" s="18"/>
      <c r="AC232" s="19"/>
      <c r="AD232" s="19"/>
      <c r="AE232" s="19"/>
    </row>
    <row r="233" spans="1:34">
      <c r="A233" s="13" t="s">
        <v>39</v>
      </c>
      <c r="B233" s="13" t="s">
        <v>40</v>
      </c>
      <c r="C233" s="13" t="s">
        <v>41</v>
      </c>
      <c r="D233" s="54" t="s">
        <v>895</v>
      </c>
      <c r="E233" s="55"/>
      <c r="F233" s="13" t="s">
        <v>896</v>
      </c>
      <c r="G233" s="13" t="s">
        <v>44</v>
      </c>
      <c r="H233" s="13" t="s">
        <v>45</v>
      </c>
      <c r="I233" s="11" t="s">
        <v>897</v>
      </c>
      <c r="J233" s="54" t="s">
        <v>898</v>
      </c>
      <c r="K233" s="13" t="s">
        <v>46</v>
      </c>
      <c r="L233" s="13">
        <v>13656706121</v>
      </c>
      <c r="M233" s="11" t="s">
        <v>899</v>
      </c>
      <c r="N233" s="54" t="s">
        <v>921</v>
      </c>
      <c r="O233" s="13" t="s">
        <v>901</v>
      </c>
      <c r="P233" s="13">
        <v>15224008917</v>
      </c>
      <c r="Q233" s="54" t="s">
        <v>902</v>
      </c>
      <c r="R233" s="54" t="s">
        <v>923</v>
      </c>
      <c r="S233" s="57" t="s">
        <v>904</v>
      </c>
      <c r="T233" s="57" t="s">
        <v>1742</v>
      </c>
      <c r="U233" s="64" t="s">
        <v>1743</v>
      </c>
      <c r="V233" s="13" t="s">
        <v>1744</v>
      </c>
      <c r="W233" s="64" t="s">
        <v>926</v>
      </c>
      <c r="X233" s="59">
        <v>21.89</v>
      </c>
      <c r="Y233" s="60">
        <v>22.28</v>
      </c>
      <c r="Z233" s="60">
        <v>16.18</v>
      </c>
      <c r="AA233" s="61" t="s">
        <v>1420</v>
      </c>
      <c r="AD233" s="19"/>
      <c r="AE233" s="19"/>
    </row>
    <row r="234" spans="1:34">
      <c r="A234" s="13" t="s">
        <v>39</v>
      </c>
      <c r="B234" s="13" t="s">
        <v>40</v>
      </c>
      <c r="C234" s="13" t="s">
        <v>41</v>
      </c>
      <c r="D234" s="54" t="s">
        <v>895</v>
      </c>
      <c r="E234" s="55"/>
      <c r="F234" s="13" t="s">
        <v>896</v>
      </c>
      <c r="G234" s="13" t="s">
        <v>44</v>
      </c>
      <c r="H234" s="13" t="s">
        <v>45</v>
      </c>
      <c r="I234" s="11" t="s">
        <v>897</v>
      </c>
      <c r="J234" s="54" t="s">
        <v>898</v>
      </c>
      <c r="K234" s="13" t="s">
        <v>46</v>
      </c>
      <c r="L234" s="13">
        <v>13656706121</v>
      </c>
      <c r="M234" s="11" t="s">
        <v>899</v>
      </c>
      <c r="N234" s="54" t="s">
        <v>921</v>
      </c>
      <c r="O234" s="13" t="s">
        <v>901</v>
      </c>
      <c r="P234" s="13">
        <v>15224008917</v>
      </c>
      <c r="Q234" s="54" t="s">
        <v>902</v>
      </c>
      <c r="R234" s="54" t="s">
        <v>923</v>
      </c>
      <c r="S234" s="57" t="s">
        <v>907</v>
      </c>
      <c r="T234" s="57" t="s">
        <v>1745</v>
      </c>
      <c r="U234" s="64" t="s">
        <v>1743</v>
      </c>
      <c r="V234" s="13" t="s">
        <v>1744</v>
      </c>
      <c r="W234" s="64" t="s">
        <v>926</v>
      </c>
      <c r="X234" s="59">
        <v>55.9</v>
      </c>
      <c r="Y234" s="60">
        <v>55.46</v>
      </c>
      <c r="Z234" s="60">
        <v>39.47</v>
      </c>
      <c r="AA234" s="61" t="s">
        <v>1420</v>
      </c>
      <c r="AB234" s="18"/>
      <c r="AC234" s="19"/>
      <c r="AD234" s="19"/>
      <c r="AE234" s="19"/>
    </row>
    <row r="235" spans="1:34">
      <c r="A235" s="13" t="s">
        <v>39</v>
      </c>
      <c r="B235" s="13" t="s">
        <v>40</v>
      </c>
      <c r="C235" s="13" t="s">
        <v>41</v>
      </c>
      <c r="D235" s="54" t="s">
        <v>895</v>
      </c>
      <c r="E235" s="55"/>
      <c r="F235" s="13" t="s">
        <v>896</v>
      </c>
      <c r="G235" s="13" t="s">
        <v>44</v>
      </c>
      <c r="H235" s="13" t="s">
        <v>45</v>
      </c>
      <c r="I235" s="11" t="s">
        <v>897</v>
      </c>
      <c r="J235" s="54" t="s">
        <v>898</v>
      </c>
      <c r="K235" s="13" t="s">
        <v>46</v>
      </c>
      <c r="L235" s="13">
        <v>13656706121</v>
      </c>
      <c r="M235" s="11" t="s">
        <v>920</v>
      </c>
      <c r="N235" s="54" t="s">
        <v>900</v>
      </c>
      <c r="O235" s="13" t="s">
        <v>901</v>
      </c>
      <c r="P235" s="13">
        <v>15224008917</v>
      </c>
      <c r="Q235" s="54" t="s">
        <v>922</v>
      </c>
      <c r="R235" s="54" t="s">
        <v>903</v>
      </c>
      <c r="S235" s="57" t="s">
        <v>924</v>
      </c>
      <c r="T235" s="57" t="s">
        <v>1746</v>
      </c>
      <c r="U235" s="64" t="s">
        <v>1747</v>
      </c>
      <c r="V235" s="13" t="s">
        <v>1744</v>
      </c>
      <c r="W235" s="64" t="s">
        <v>909</v>
      </c>
      <c r="X235" s="59">
        <v>0.4</v>
      </c>
      <c r="Y235" s="60">
        <v>0.4</v>
      </c>
      <c r="Z235" s="60">
        <v>0.4</v>
      </c>
      <c r="AA235" s="61" t="s">
        <v>1420</v>
      </c>
      <c r="AB235" s="18"/>
      <c r="AC235" s="19"/>
      <c r="AD235" s="19"/>
      <c r="AE235" s="19"/>
    </row>
    <row r="236" spans="1:34">
      <c r="A236" s="13" t="s">
        <v>39</v>
      </c>
      <c r="B236" s="13" t="s">
        <v>40</v>
      </c>
      <c r="C236" s="13" t="s">
        <v>41</v>
      </c>
      <c r="D236" s="54" t="s">
        <v>895</v>
      </c>
      <c r="E236" s="55"/>
      <c r="F236" s="13" t="s">
        <v>896</v>
      </c>
      <c r="G236" s="13" t="s">
        <v>44</v>
      </c>
      <c r="H236" s="13" t="s">
        <v>45</v>
      </c>
      <c r="I236" s="11" t="s">
        <v>897</v>
      </c>
      <c r="J236" s="54" t="s">
        <v>898</v>
      </c>
      <c r="K236" s="13" t="s">
        <v>46</v>
      </c>
      <c r="L236" s="13">
        <v>13656706121</v>
      </c>
      <c r="M236" s="11" t="s">
        <v>920</v>
      </c>
      <c r="N236" s="54" t="s">
        <v>900</v>
      </c>
      <c r="O236" s="13" t="s">
        <v>901</v>
      </c>
      <c r="P236" s="13">
        <v>15224008917</v>
      </c>
      <c r="Q236" s="54" t="s">
        <v>922</v>
      </c>
      <c r="R236" s="54" t="s">
        <v>903</v>
      </c>
      <c r="S236" s="57" t="s">
        <v>1748</v>
      </c>
      <c r="T236" s="57" t="s">
        <v>1749</v>
      </c>
      <c r="U236" s="64" t="s">
        <v>1747</v>
      </c>
      <c r="V236" s="13" t="s">
        <v>1744</v>
      </c>
      <c r="W236" s="64" t="s">
        <v>906</v>
      </c>
      <c r="X236" s="59">
        <v>0.1</v>
      </c>
      <c r="Y236" s="60">
        <v>0.1</v>
      </c>
      <c r="Z236" s="60">
        <v>0.1</v>
      </c>
      <c r="AA236" s="61" t="s">
        <v>1420</v>
      </c>
      <c r="AB236" s="18"/>
      <c r="AC236" s="19"/>
      <c r="AD236" s="19"/>
      <c r="AE236" s="19"/>
    </row>
    <row r="237" spans="1:34">
      <c r="A237" s="13" t="s">
        <v>39</v>
      </c>
      <c r="B237" s="13" t="s">
        <v>40</v>
      </c>
      <c r="C237" s="13" t="s">
        <v>41</v>
      </c>
      <c r="D237" s="54" t="s">
        <v>895</v>
      </c>
      <c r="E237" s="55"/>
      <c r="F237" s="13" t="s">
        <v>896</v>
      </c>
      <c r="G237" s="13" t="s">
        <v>44</v>
      </c>
      <c r="H237" s="13" t="s">
        <v>45</v>
      </c>
      <c r="I237" s="11" t="s">
        <v>897</v>
      </c>
      <c r="J237" s="54" t="s">
        <v>898</v>
      </c>
      <c r="K237" s="13" t="s">
        <v>46</v>
      </c>
      <c r="L237" s="13">
        <v>13656706121</v>
      </c>
      <c r="M237" s="11" t="s">
        <v>920</v>
      </c>
      <c r="N237" s="54" t="s">
        <v>900</v>
      </c>
      <c r="O237" s="13" t="s">
        <v>901</v>
      </c>
      <c r="P237" s="13">
        <v>15224008917</v>
      </c>
      <c r="Q237" s="54" t="s">
        <v>1750</v>
      </c>
      <c r="R237" s="54" t="s">
        <v>916</v>
      </c>
      <c r="S237" s="57" t="s">
        <v>1751</v>
      </c>
      <c r="T237" s="57" t="s">
        <v>1752</v>
      </c>
      <c r="U237" s="64" t="s">
        <v>1747</v>
      </c>
      <c r="V237" s="13" t="s">
        <v>1744</v>
      </c>
      <c r="W237" s="64" t="s">
        <v>919</v>
      </c>
      <c r="X237" s="59">
        <v>18.6</v>
      </c>
      <c r="Y237" s="60">
        <v>17.2</v>
      </c>
      <c r="Z237" s="60">
        <v>15.8</v>
      </c>
      <c r="AA237" s="61" t="s">
        <v>1420</v>
      </c>
      <c r="AB237" s="18"/>
      <c r="AC237" s="19"/>
      <c r="AD237" s="19"/>
      <c r="AE237" s="19"/>
    </row>
    <row r="238" spans="1:34">
      <c r="A238" s="13" t="s">
        <v>39</v>
      </c>
      <c r="B238" s="13" t="s">
        <v>40</v>
      </c>
      <c r="C238" s="13" t="s">
        <v>41</v>
      </c>
      <c r="D238" s="54" t="s">
        <v>895</v>
      </c>
      <c r="E238" s="55"/>
      <c r="F238" s="13" t="s">
        <v>896</v>
      </c>
      <c r="G238" s="13" t="s">
        <v>44</v>
      </c>
      <c r="H238" s="13" t="s">
        <v>45</v>
      </c>
      <c r="I238" s="11" t="s">
        <v>897</v>
      </c>
      <c r="J238" s="54" t="s">
        <v>898</v>
      </c>
      <c r="K238" s="13" t="s">
        <v>46</v>
      </c>
      <c r="L238" s="13">
        <v>13656706121</v>
      </c>
      <c r="M238" s="11" t="s">
        <v>920</v>
      </c>
      <c r="N238" s="54" t="s">
        <v>900</v>
      </c>
      <c r="O238" s="13" t="s">
        <v>901</v>
      </c>
      <c r="P238" s="13">
        <v>15224008917</v>
      </c>
      <c r="Q238" s="54" t="s">
        <v>1750</v>
      </c>
      <c r="R238" s="54" t="s">
        <v>916</v>
      </c>
      <c r="S238" s="57" t="s">
        <v>1753</v>
      </c>
      <c r="T238" s="57" t="s">
        <v>1754</v>
      </c>
      <c r="U238" s="64" t="s">
        <v>1747</v>
      </c>
      <c r="V238" s="13" t="s">
        <v>1744</v>
      </c>
      <c r="W238" s="64" t="s">
        <v>919</v>
      </c>
      <c r="X238" s="59">
        <v>18.6</v>
      </c>
      <c r="Y238" s="60">
        <v>1.4</v>
      </c>
      <c r="Z238" s="60">
        <v>1.25</v>
      </c>
      <c r="AA238" s="61" t="s">
        <v>1420</v>
      </c>
      <c r="AB238" s="18"/>
      <c r="AC238" s="19"/>
      <c r="AD238" s="19"/>
      <c r="AE238" s="19"/>
    </row>
    <row r="239" spans="1:34">
      <c r="A239" s="13" t="s">
        <v>39</v>
      </c>
      <c r="B239" s="13" t="s">
        <v>40</v>
      </c>
      <c r="C239" s="13" t="s">
        <v>41</v>
      </c>
      <c r="D239" s="54" t="s">
        <v>895</v>
      </c>
      <c r="E239" s="55"/>
      <c r="F239" s="13" t="s">
        <v>896</v>
      </c>
      <c r="G239" s="13" t="s">
        <v>44</v>
      </c>
      <c r="H239" s="13" t="s">
        <v>45</v>
      </c>
      <c r="I239" s="11" t="s">
        <v>897</v>
      </c>
      <c r="J239" s="54" t="s">
        <v>898</v>
      </c>
      <c r="K239" s="13" t="s">
        <v>46</v>
      </c>
      <c r="L239" s="13">
        <v>13656706121</v>
      </c>
      <c r="M239" s="11" t="s">
        <v>920</v>
      </c>
      <c r="N239" s="54" t="s">
        <v>900</v>
      </c>
      <c r="O239" s="13" t="s">
        <v>901</v>
      </c>
      <c r="P239" s="13">
        <v>15224008917</v>
      </c>
      <c r="Q239" s="54" t="s">
        <v>1755</v>
      </c>
      <c r="R239" s="54" t="s">
        <v>911</v>
      </c>
      <c r="S239" s="57" t="s">
        <v>1756</v>
      </c>
      <c r="T239" s="57" t="s">
        <v>1757</v>
      </c>
      <c r="U239" s="64" t="s">
        <v>1747</v>
      </c>
      <c r="V239" s="13" t="s">
        <v>1744</v>
      </c>
      <c r="W239" s="64" t="s">
        <v>914</v>
      </c>
      <c r="X239" s="59">
        <v>275.292</v>
      </c>
      <c r="Y239" s="60">
        <v>275.292</v>
      </c>
      <c r="Z239" s="60">
        <v>254.17</v>
      </c>
      <c r="AA239" s="61" t="s">
        <v>1420</v>
      </c>
      <c r="AB239" s="18"/>
      <c r="AC239" s="19"/>
      <c r="AD239" s="19"/>
      <c r="AE239" s="19"/>
    </row>
    <row r="240" spans="1:34">
      <c r="A240" s="13" t="s">
        <v>39</v>
      </c>
      <c r="B240" s="13" t="s">
        <v>40</v>
      </c>
      <c r="C240" s="13" t="s">
        <v>41</v>
      </c>
      <c r="D240" s="54" t="s">
        <v>895</v>
      </c>
      <c r="E240" s="55"/>
      <c r="F240" s="13" t="s">
        <v>896</v>
      </c>
      <c r="G240" s="13" t="s">
        <v>44</v>
      </c>
      <c r="H240" s="13" t="s">
        <v>45</v>
      </c>
      <c r="I240" s="11" t="s">
        <v>897</v>
      </c>
      <c r="J240" s="54" t="s">
        <v>898</v>
      </c>
      <c r="K240" s="13" t="s">
        <v>46</v>
      </c>
      <c r="L240" s="13">
        <v>13656706121</v>
      </c>
      <c r="M240" s="11" t="s">
        <v>927</v>
      </c>
      <c r="N240" s="54" t="s">
        <v>928</v>
      </c>
      <c r="O240" s="13" t="s">
        <v>901</v>
      </c>
      <c r="P240" s="13">
        <v>15224008917</v>
      </c>
      <c r="Q240" s="54" t="s">
        <v>929</v>
      </c>
      <c r="R240" s="54" t="s">
        <v>903</v>
      </c>
      <c r="S240" s="57" t="s">
        <v>930</v>
      </c>
      <c r="T240" s="57" t="s">
        <v>1758</v>
      </c>
      <c r="U240" s="64" t="s">
        <v>1759</v>
      </c>
      <c r="V240" s="13" t="s">
        <v>1744</v>
      </c>
      <c r="W240" s="64" t="s">
        <v>932</v>
      </c>
      <c r="X240" s="59">
        <v>84</v>
      </c>
      <c r="Y240" s="60">
        <v>88.04</v>
      </c>
      <c r="Z240" s="60">
        <v>77.6</v>
      </c>
      <c r="AA240" s="61" t="s">
        <v>1420</v>
      </c>
      <c r="AB240" s="18"/>
      <c r="AC240" s="19"/>
      <c r="AD240" s="19"/>
      <c r="AE240" s="19"/>
    </row>
    <row r="241" s="34" customFormat="1" spans="1:34">
      <c r="A241" s="9" t="s">
        <v>995</v>
      </c>
      <c r="B241" s="9" t="s">
        <v>996</v>
      </c>
      <c r="C241" s="9" t="s">
        <v>997</v>
      </c>
      <c r="D241" s="9" t="s">
        <v>998</v>
      </c>
      <c r="E241" s="96"/>
      <c r="F241" s="9" t="s">
        <v>999</v>
      </c>
      <c r="G241" s="13" t="s">
        <v>1000</v>
      </c>
      <c r="H241" s="9" t="s">
        <v>1001</v>
      </c>
      <c r="I241" s="11" t="s">
        <v>1003</v>
      </c>
      <c r="J241" s="10" t="s">
        <v>1004</v>
      </c>
      <c r="K241" s="9" t="s">
        <v>1006</v>
      </c>
      <c r="L241" s="9">
        <v>19522211828</v>
      </c>
      <c r="M241" s="11" t="s">
        <v>1007</v>
      </c>
      <c r="N241" s="10" t="s">
        <v>1008</v>
      </c>
      <c r="O241" s="9" t="s">
        <v>1006</v>
      </c>
      <c r="P241" s="9">
        <v>13330626680</v>
      </c>
      <c r="Q241" s="10" t="s">
        <v>1009</v>
      </c>
      <c r="R241" s="10" t="s">
        <v>1010</v>
      </c>
      <c r="S241" s="57" t="s">
        <v>1011</v>
      </c>
      <c r="T241" s="57" t="s">
        <v>1012</v>
      </c>
      <c r="U241" s="64" t="s">
        <v>1760</v>
      </c>
      <c r="V241" s="9" t="s">
        <v>1761</v>
      </c>
      <c r="W241" s="64" t="s">
        <v>1013</v>
      </c>
      <c r="X241" s="97">
        <v>332.97</v>
      </c>
      <c r="Y241" s="98" t="s">
        <v>1762</v>
      </c>
      <c r="Z241" s="99">
        <v>276.67</v>
      </c>
      <c r="AA241" s="61" t="s">
        <v>1420</v>
      </c>
      <c r="AB241" s="18"/>
      <c r="AC241" s="19"/>
      <c r="AD241" s="19"/>
      <c r="AE241" s="19"/>
      <c r="AF241" s="36"/>
      <c r="AG241" s="36"/>
      <c r="AH241" s="36"/>
    </row>
    <row r="242" s="35" customFormat="1" spans="1:34">
      <c r="A242" s="9" t="s">
        <v>995</v>
      </c>
      <c r="B242" s="9" t="s">
        <v>996</v>
      </c>
      <c r="C242" s="9" t="s">
        <v>997</v>
      </c>
      <c r="D242" s="9" t="s">
        <v>1763</v>
      </c>
      <c r="E242" s="96"/>
      <c r="F242" s="9" t="s">
        <v>999</v>
      </c>
      <c r="G242" s="13" t="s">
        <v>1000</v>
      </c>
      <c r="H242" s="9" t="s">
        <v>1001</v>
      </c>
      <c r="I242" s="11" t="s">
        <v>1003</v>
      </c>
      <c r="J242" s="10" t="s">
        <v>1004</v>
      </c>
      <c r="K242" s="9" t="s">
        <v>1006</v>
      </c>
      <c r="L242" s="9">
        <v>19522211828</v>
      </c>
      <c r="M242" s="11" t="s">
        <v>1007</v>
      </c>
      <c r="N242" s="10" t="s">
        <v>1008</v>
      </c>
      <c r="O242" s="9" t="s">
        <v>1006</v>
      </c>
      <c r="P242" s="9">
        <v>13330626680</v>
      </c>
      <c r="Q242" s="10" t="s">
        <v>1014</v>
      </c>
      <c r="R242" s="10" t="s">
        <v>1015</v>
      </c>
      <c r="S242" s="57" t="s">
        <v>1016</v>
      </c>
      <c r="T242" s="57" t="s">
        <v>1017</v>
      </c>
      <c r="U242" s="64" t="s">
        <v>1764</v>
      </c>
      <c r="V242" s="9" t="s">
        <v>1765</v>
      </c>
      <c r="W242" s="64" t="s">
        <v>1018</v>
      </c>
      <c r="X242" s="97">
        <v>97.94</v>
      </c>
      <c r="Y242" s="60">
        <v>112.61</v>
      </c>
      <c r="Z242" s="60">
        <v>111.85</v>
      </c>
      <c r="AA242" s="61" t="s">
        <v>1420</v>
      </c>
      <c r="AB242" s="18"/>
      <c r="AC242" s="19"/>
      <c r="AD242" s="19"/>
      <c r="AE242" s="19"/>
      <c r="AF242" s="36"/>
      <c r="AG242" s="36"/>
      <c r="AH242" s="36"/>
    </row>
    <row r="243" s="35" customFormat="1" spans="1:34">
      <c r="A243" s="9" t="s">
        <v>995</v>
      </c>
      <c r="B243" s="9" t="s">
        <v>996</v>
      </c>
      <c r="C243" s="9" t="s">
        <v>997</v>
      </c>
      <c r="D243" s="9" t="s">
        <v>1763</v>
      </c>
      <c r="E243" s="96"/>
      <c r="F243" s="9" t="s">
        <v>999</v>
      </c>
      <c r="G243" s="13" t="s">
        <v>1000</v>
      </c>
      <c r="H243" s="9" t="s">
        <v>1001</v>
      </c>
      <c r="I243" s="11" t="s">
        <v>1003</v>
      </c>
      <c r="J243" s="10" t="s">
        <v>1004</v>
      </c>
      <c r="K243" s="9" t="s">
        <v>1006</v>
      </c>
      <c r="L243" s="9">
        <v>19522211828</v>
      </c>
      <c r="M243" s="11" t="s">
        <v>1007</v>
      </c>
      <c r="N243" s="10" t="s">
        <v>1008</v>
      </c>
      <c r="O243" s="9" t="s">
        <v>1006</v>
      </c>
      <c r="P243" s="9">
        <v>13330626680</v>
      </c>
      <c r="Q243" s="10" t="s">
        <v>1014</v>
      </c>
      <c r="R243" s="10" t="s">
        <v>1015</v>
      </c>
      <c r="S243" s="57" t="s">
        <v>1019</v>
      </c>
      <c r="T243" s="57" t="s">
        <v>1020</v>
      </c>
      <c r="U243" s="64" t="s">
        <v>1766</v>
      </c>
      <c r="V243" s="9" t="s">
        <v>1765</v>
      </c>
      <c r="W243" s="64" t="s">
        <v>1021</v>
      </c>
      <c r="X243" s="97"/>
      <c r="Y243" s="60">
        <v>35.75</v>
      </c>
      <c r="Z243" s="60">
        <v>29.4</v>
      </c>
      <c r="AA243" s="61" t="s">
        <v>1420</v>
      </c>
      <c r="AB243" s="18"/>
      <c r="AC243" s="19"/>
      <c r="AD243" s="19"/>
      <c r="AE243" s="19"/>
      <c r="AF243" s="36"/>
      <c r="AG243" s="36"/>
      <c r="AH243" s="36"/>
    </row>
    <row r="244" s="35" customFormat="1" spans="1:34">
      <c r="A244" s="9" t="s">
        <v>995</v>
      </c>
      <c r="B244" s="9" t="s">
        <v>996</v>
      </c>
      <c r="C244" s="9" t="s">
        <v>997</v>
      </c>
      <c r="D244" s="9" t="s">
        <v>1063</v>
      </c>
      <c r="E244" s="96"/>
      <c r="F244" s="9" t="s">
        <v>999</v>
      </c>
      <c r="G244" s="13" t="s">
        <v>1000</v>
      </c>
      <c r="H244" s="9" t="s">
        <v>1001</v>
      </c>
      <c r="I244" s="11" t="s">
        <v>1003</v>
      </c>
      <c r="J244" s="10" t="s">
        <v>1004</v>
      </c>
      <c r="K244" s="9" t="s">
        <v>1006</v>
      </c>
      <c r="L244" s="9">
        <v>19522211828</v>
      </c>
      <c r="M244" s="11" t="s">
        <v>1007</v>
      </c>
      <c r="N244" s="10" t="s">
        <v>1008</v>
      </c>
      <c r="O244" s="9" t="s">
        <v>1006</v>
      </c>
      <c r="P244" s="9">
        <v>13330626680</v>
      </c>
      <c r="Q244" s="10" t="s">
        <v>1014</v>
      </c>
      <c r="R244" s="10" t="s">
        <v>1015</v>
      </c>
      <c r="S244" s="57" t="s">
        <v>1022</v>
      </c>
      <c r="T244" s="57" t="s">
        <v>1023</v>
      </c>
      <c r="U244" s="64" t="s">
        <v>1767</v>
      </c>
      <c r="V244" s="9" t="s">
        <v>1765</v>
      </c>
      <c r="W244" s="64" t="s">
        <v>1021</v>
      </c>
      <c r="X244" s="97"/>
      <c r="Y244" s="99">
        <v>21.42</v>
      </c>
      <c r="Z244" s="99">
        <v>19.85</v>
      </c>
      <c r="AA244" s="61" t="s">
        <v>1420</v>
      </c>
      <c r="AB244" s="18"/>
      <c r="AC244" s="19"/>
      <c r="AD244" s="19"/>
      <c r="AE244" s="19"/>
      <c r="AF244" s="36"/>
      <c r="AG244" s="36"/>
      <c r="AH244" s="36"/>
    </row>
    <row r="245" s="35" customFormat="1" spans="1:34">
      <c r="A245" s="9" t="s">
        <v>995</v>
      </c>
      <c r="B245" s="9" t="s">
        <v>996</v>
      </c>
      <c r="C245" s="9" t="s">
        <v>997</v>
      </c>
      <c r="D245" s="9" t="s">
        <v>1024</v>
      </c>
      <c r="E245" s="96"/>
      <c r="F245" s="9" t="s">
        <v>999</v>
      </c>
      <c r="G245" s="13" t="s">
        <v>1000</v>
      </c>
      <c r="H245" s="9" t="s">
        <v>1001</v>
      </c>
      <c r="I245" s="11" t="s">
        <v>1003</v>
      </c>
      <c r="J245" s="10" t="s">
        <v>1004</v>
      </c>
      <c r="K245" s="9" t="s">
        <v>1027</v>
      </c>
      <c r="L245" s="9">
        <v>15082653961</v>
      </c>
      <c r="M245" s="11" t="s">
        <v>1057</v>
      </c>
      <c r="N245" s="10" t="s">
        <v>1029</v>
      </c>
      <c r="O245" s="9" t="s">
        <v>1027</v>
      </c>
      <c r="P245" s="9">
        <v>15082653961</v>
      </c>
      <c r="Q245" s="10" t="s">
        <v>1059</v>
      </c>
      <c r="R245" s="10" t="s">
        <v>1029</v>
      </c>
      <c r="S245" s="57" t="s">
        <v>1060</v>
      </c>
      <c r="T245" s="57" t="s">
        <v>1032</v>
      </c>
      <c r="U245" s="64" t="s">
        <v>1768</v>
      </c>
      <c r="V245" s="9" t="s">
        <v>1761</v>
      </c>
      <c r="W245" s="64" t="s">
        <v>1033</v>
      </c>
      <c r="X245" s="97">
        <v>486.41</v>
      </c>
      <c r="Y245" s="60">
        <v>485.43</v>
      </c>
      <c r="Z245" s="60">
        <v>449.58</v>
      </c>
      <c r="AA245" s="61" t="s">
        <v>1420</v>
      </c>
      <c r="AB245" s="18"/>
      <c r="AC245" s="19"/>
      <c r="AD245" s="19"/>
      <c r="AE245" s="19"/>
      <c r="AF245" s="36"/>
      <c r="AG245" s="36"/>
      <c r="AH245" s="36"/>
    </row>
    <row r="246" s="35" customFormat="1" spans="1:34">
      <c r="A246" s="9" t="s">
        <v>995</v>
      </c>
      <c r="B246" s="9" t="s">
        <v>996</v>
      </c>
      <c r="C246" s="9" t="s">
        <v>997</v>
      </c>
      <c r="D246" s="9" t="s">
        <v>1024</v>
      </c>
      <c r="E246" s="96"/>
      <c r="F246" s="9" t="s">
        <v>999</v>
      </c>
      <c r="G246" s="13" t="s">
        <v>1000</v>
      </c>
      <c r="H246" s="9" t="s">
        <v>1001</v>
      </c>
      <c r="I246" s="11" t="s">
        <v>1003</v>
      </c>
      <c r="J246" s="10" t="s">
        <v>1004</v>
      </c>
      <c r="K246" s="9" t="s">
        <v>1027</v>
      </c>
      <c r="L246" s="9">
        <v>15082653961</v>
      </c>
      <c r="M246" s="11" t="s">
        <v>1057</v>
      </c>
      <c r="N246" s="10" t="s">
        <v>1029</v>
      </c>
      <c r="O246" s="9" t="s">
        <v>1027</v>
      </c>
      <c r="P246" s="9">
        <v>15082653961</v>
      </c>
      <c r="Q246" s="10" t="s">
        <v>1059</v>
      </c>
      <c r="R246" s="10" t="s">
        <v>1029</v>
      </c>
      <c r="S246" s="57" t="s">
        <v>1769</v>
      </c>
      <c r="T246" s="57" t="s">
        <v>1035</v>
      </c>
      <c r="U246" s="64" t="s">
        <v>1768</v>
      </c>
      <c r="V246" s="9" t="s">
        <v>1761</v>
      </c>
      <c r="W246" s="64" t="s">
        <v>1036</v>
      </c>
      <c r="X246" s="97">
        <v>20.59</v>
      </c>
      <c r="Y246" s="60">
        <v>20.74</v>
      </c>
      <c r="Z246" s="60">
        <v>19.28</v>
      </c>
      <c r="AA246" s="61" t="s">
        <v>1420</v>
      </c>
      <c r="AB246" s="18"/>
      <c r="AC246" s="19"/>
      <c r="AD246" s="19"/>
      <c r="AE246" s="19"/>
      <c r="AF246" s="36"/>
      <c r="AG246" s="36"/>
      <c r="AH246" s="36"/>
    </row>
    <row r="247" s="35" customFormat="1" spans="1:34">
      <c r="A247" s="9" t="s">
        <v>995</v>
      </c>
      <c r="B247" s="9" t="s">
        <v>996</v>
      </c>
      <c r="C247" s="9" t="s">
        <v>997</v>
      </c>
      <c r="D247" s="9" t="s">
        <v>1024</v>
      </c>
      <c r="E247" s="96"/>
      <c r="F247" s="9" t="s">
        <v>999</v>
      </c>
      <c r="G247" s="13" t="s">
        <v>1000</v>
      </c>
      <c r="H247" s="9" t="s">
        <v>1001</v>
      </c>
      <c r="I247" s="11" t="s">
        <v>1003</v>
      </c>
      <c r="J247" s="10" t="s">
        <v>1004</v>
      </c>
      <c r="K247" s="9" t="s">
        <v>1056</v>
      </c>
      <c r="L247" s="9">
        <v>18382676079</v>
      </c>
      <c r="M247" s="11" t="s">
        <v>1057</v>
      </c>
      <c r="N247" s="10" t="s">
        <v>1029</v>
      </c>
      <c r="O247" s="9" t="s">
        <v>1056</v>
      </c>
      <c r="P247" s="9">
        <v>15082653961</v>
      </c>
      <c r="Q247" s="10" t="s">
        <v>1059</v>
      </c>
      <c r="R247" s="10" t="s">
        <v>1029</v>
      </c>
      <c r="S247" s="57" t="s">
        <v>1770</v>
      </c>
      <c r="T247" s="57" t="s">
        <v>1038</v>
      </c>
      <c r="U247" s="64" t="s">
        <v>1771</v>
      </c>
      <c r="V247" s="9" t="s">
        <v>1761</v>
      </c>
      <c r="W247" s="64" t="s">
        <v>1039</v>
      </c>
      <c r="X247" s="97">
        <v>114.41</v>
      </c>
      <c r="Y247" s="60">
        <v>115.7</v>
      </c>
      <c r="Z247" s="60">
        <v>113.94</v>
      </c>
      <c r="AA247" s="61" t="s">
        <v>1420</v>
      </c>
      <c r="AB247" s="18"/>
      <c r="AC247" s="19"/>
      <c r="AD247" s="19"/>
      <c r="AE247" s="19"/>
      <c r="AF247" s="36"/>
      <c r="AG247" s="36"/>
      <c r="AH247" s="36"/>
    </row>
    <row r="248" s="35" customFormat="1" spans="1:34">
      <c r="A248" s="9" t="s">
        <v>995</v>
      </c>
      <c r="B248" s="9" t="s">
        <v>996</v>
      </c>
      <c r="C248" s="9" t="s">
        <v>997</v>
      </c>
      <c r="D248" s="9" t="s">
        <v>1040</v>
      </c>
      <c r="E248" s="96"/>
      <c r="F248" s="9" t="s">
        <v>999</v>
      </c>
      <c r="G248" s="13" t="s">
        <v>1000</v>
      </c>
      <c r="H248" s="9" t="s">
        <v>1001</v>
      </c>
      <c r="I248" s="11" t="s">
        <v>1003</v>
      </c>
      <c r="J248" s="10" t="s">
        <v>1004</v>
      </c>
      <c r="K248" s="9" t="s">
        <v>1043</v>
      </c>
      <c r="L248" s="9">
        <v>14780098824</v>
      </c>
      <c r="M248" s="11" t="s">
        <v>1328</v>
      </c>
      <c r="N248" s="10" t="s">
        <v>1045</v>
      </c>
      <c r="O248" s="9" t="s">
        <v>1772</v>
      </c>
      <c r="P248" s="9">
        <v>14780098824</v>
      </c>
      <c r="Q248" s="10" t="s">
        <v>1331</v>
      </c>
      <c r="R248" s="10" t="s">
        <v>1045</v>
      </c>
      <c r="S248" s="57" t="s">
        <v>1332</v>
      </c>
      <c r="T248" s="57" t="s">
        <v>1048</v>
      </c>
      <c r="U248" s="64" t="s">
        <v>1773</v>
      </c>
      <c r="V248" s="9" t="s">
        <v>1761</v>
      </c>
      <c r="W248" s="64" t="s">
        <v>1049</v>
      </c>
      <c r="X248" s="97">
        <v>355</v>
      </c>
      <c r="Y248" s="60">
        <v>292.27</v>
      </c>
      <c r="Z248" s="60">
        <v>258.73</v>
      </c>
      <c r="AA248" s="61"/>
      <c r="AB248" s="18"/>
      <c r="AC248" s="19"/>
      <c r="AD248" s="19"/>
      <c r="AE248" s="19"/>
      <c r="AF248" s="36"/>
      <c r="AG248" s="36"/>
      <c r="AH248" s="36"/>
    </row>
    <row r="249" spans="1:34">
      <c r="A249" s="9" t="s">
        <v>995</v>
      </c>
      <c r="B249" s="9" t="s">
        <v>996</v>
      </c>
      <c r="C249" s="9" t="s">
        <v>997</v>
      </c>
      <c r="D249" s="9" t="s">
        <v>1040</v>
      </c>
      <c r="E249" s="96"/>
      <c r="F249" s="9" t="s">
        <v>999</v>
      </c>
      <c r="G249" s="13" t="s">
        <v>1000</v>
      </c>
      <c r="H249" s="9" t="s">
        <v>1001</v>
      </c>
      <c r="I249" s="11" t="s">
        <v>1003</v>
      </c>
      <c r="J249" s="10" t="s">
        <v>1004</v>
      </c>
      <c r="K249" s="9" t="s">
        <v>1043</v>
      </c>
      <c r="L249" s="9">
        <v>14780098824</v>
      </c>
      <c r="M249" s="11" t="s">
        <v>1328</v>
      </c>
      <c r="N249" s="10" t="s">
        <v>1045</v>
      </c>
      <c r="O249" s="9" t="s">
        <v>1772</v>
      </c>
      <c r="P249" s="9">
        <v>14780098824</v>
      </c>
      <c r="Q249" s="10" t="s">
        <v>1331</v>
      </c>
      <c r="R249" s="10" t="s">
        <v>1045</v>
      </c>
      <c r="S249" s="57" t="s">
        <v>1335</v>
      </c>
      <c r="T249" s="57" t="s">
        <v>1051</v>
      </c>
      <c r="U249" s="64" t="s">
        <v>1773</v>
      </c>
      <c r="V249" s="9" t="s">
        <v>1761</v>
      </c>
      <c r="W249" s="64" t="s">
        <v>1052</v>
      </c>
      <c r="X249" s="97">
        <v>3.87</v>
      </c>
      <c r="Y249" s="60">
        <v>3.83</v>
      </c>
      <c r="Z249" s="60">
        <v>0.72</v>
      </c>
      <c r="AA249" s="61"/>
      <c r="AB249" s="18"/>
      <c r="AC249" s="19"/>
      <c r="AD249" s="19"/>
      <c r="AE249" s="19"/>
    </row>
    <row r="250" spans="1:34">
      <c r="A250" s="9" t="s">
        <v>995</v>
      </c>
      <c r="B250" s="9" t="s">
        <v>996</v>
      </c>
      <c r="C250" s="9" t="s">
        <v>997</v>
      </c>
      <c r="D250" s="9" t="s">
        <v>1040</v>
      </c>
      <c r="E250" s="96"/>
      <c r="F250" s="9" t="s">
        <v>999</v>
      </c>
      <c r="G250" s="13" t="s">
        <v>1000</v>
      </c>
      <c r="H250" s="9" t="s">
        <v>1001</v>
      </c>
      <c r="I250" s="11" t="s">
        <v>1003</v>
      </c>
      <c r="J250" s="10" t="s">
        <v>1004</v>
      </c>
      <c r="K250" s="9" t="s">
        <v>1043</v>
      </c>
      <c r="L250" s="9">
        <v>14780098824</v>
      </c>
      <c r="M250" s="11" t="s">
        <v>1328</v>
      </c>
      <c r="N250" s="10" t="s">
        <v>1045</v>
      </c>
      <c r="O250" s="9" t="s">
        <v>1772</v>
      </c>
      <c r="P250" s="9">
        <v>14780098824</v>
      </c>
      <c r="Q250" s="10" t="s">
        <v>1331</v>
      </c>
      <c r="R250" s="10" t="s">
        <v>1045</v>
      </c>
      <c r="S250" s="57" t="s">
        <v>1338</v>
      </c>
      <c r="T250" s="57" t="s">
        <v>1054</v>
      </c>
      <c r="U250" s="64" t="s">
        <v>1773</v>
      </c>
      <c r="V250" s="9" t="s">
        <v>1761</v>
      </c>
      <c r="W250" s="64" t="s">
        <v>1055</v>
      </c>
      <c r="X250" s="97">
        <v>396.65</v>
      </c>
      <c r="Y250" s="60">
        <v>293.29</v>
      </c>
      <c r="Z250" s="60">
        <v>245.36</v>
      </c>
      <c r="AA250" s="61"/>
      <c r="AB250" s="18"/>
      <c r="AC250" s="19"/>
      <c r="AD250" s="19"/>
      <c r="AE250" s="19"/>
    </row>
    <row r="251" spans="1:34">
      <c r="A251" s="9" t="s">
        <v>995</v>
      </c>
      <c r="B251" s="9" t="s">
        <v>996</v>
      </c>
      <c r="C251" s="9" t="s">
        <v>997</v>
      </c>
      <c r="D251" s="9" t="s">
        <v>998</v>
      </c>
      <c r="E251" s="96"/>
      <c r="F251" s="9" t="s">
        <v>999</v>
      </c>
      <c r="G251" s="13" t="s">
        <v>1000</v>
      </c>
      <c r="H251" s="9" t="s">
        <v>1001</v>
      </c>
      <c r="I251" s="11" t="s">
        <v>1003</v>
      </c>
      <c r="J251" s="10" t="s">
        <v>1004</v>
      </c>
      <c r="K251" s="9" t="s">
        <v>1056</v>
      </c>
      <c r="L251" s="9">
        <v>15378266663</v>
      </c>
      <c r="M251" s="11" t="s">
        <v>1774</v>
      </c>
      <c r="N251" s="10" t="s">
        <v>1058</v>
      </c>
      <c r="O251" s="9" t="s">
        <v>1056</v>
      </c>
      <c r="P251" s="9">
        <v>15378266663</v>
      </c>
      <c r="Q251" s="10" t="s">
        <v>1775</v>
      </c>
      <c r="R251" s="10" t="s">
        <v>1058</v>
      </c>
      <c r="S251" s="57" t="s">
        <v>1776</v>
      </c>
      <c r="T251" s="57" t="s">
        <v>1061</v>
      </c>
      <c r="U251" s="64" t="s">
        <v>1777</v>
      </c>
      <c r="V251" s="9" t="s">
        <v>1761</v>
      </c>
      <c r="W251" s="64" t="s">
        <v>1062</v>
      </c>
      <c r="X251" s="97">
        <v>380</v>
      </c>
      <c r="Y251" s="60">
        <v>392.67</v>
      </c>
      <c r="Z251" s="60">
        <v>287.95</v>
      </c>
      <c r="AA251" s="61"/>
      <c r="AB251" s="18"/>
      <c r="AC251" s="19"/>
      <c r="AD251" s="19"/>
      <c r="AE251" s="19"/>
    </row>
    <row r="252" spans="1:34">
      <c r="A252" s="9" t="s">
        <v>995</v>
      </c>
      <c r="B252" s="9" t="s">
        <v>996</v>
      </c>
      <c r="C252" s="9" t="s">
        <v>997</v>
      </c>
      <c r="D252" s="9" t="s">
        <v>1063</v>
      </c>
      <c r="E252" s="96"/>
      <c r="F252" s="9" t="s">
        <v>999</v>
      </c>
      <c r="G252" s="13" t="s">
        <v>1000</v>
      </c>
      <c r="H252" s="9" t="s">
        <v>1001</v>
      </c>
      <c r="I252" s="11" t="s">
        <v>1003</v>
      </c>
      <c r="J252" s="10" t="s">
        <v>1004</v>
      </c>
      <c r="K252" s="9" t="s">
        <v>1066</v>
      </c>
      <c r="L252" s="9">
        <v>13880397664</v>
      </c>
      <c r="M252" s="11" t="s">
        <v>1778</v>
      </c>
      <c r="N252" s="10" t="s">
        <v>1068</v>
      </c>
      <c r="O252" s="9" t="s">
        <v>1069</v>
      </c>
      <c r="P252" s="9">
        <v>19976719338</v>
      </c>
      <c r="Q252" s="10" t="s">
        <v>1779</v>
      </c>
      <c r="R252" s="10" t="s">
        <v>1071</v>
      </c>
      <c r="S252" s="57" t="s">
        <v>1780</v>
      </c>
      <c r="T252" s="57" t="s">
        <v>1073</v>
      </c>
      <c r="U252" s="64" t="s">
        <v>1781</v>
      </c>
      <c r="V252" s="9" t="s">
        <v>1761</v>
      </c>
      <c r="W252" s="64" t="s">
        <v>1074</v>
      </c>
      <c r="X252" s="97">
        <v>317.02</v>
      </c>
      <c r="Y252" s="60">
        <v>311.58</v>
      </c>
      <c r="Z252" s="60">
        <v>308.79</v>
      </c>
      <c r="AA252" s="61"/>
      <c r="AB252" s="18"/>
      <c r="AC252" s="19"/>
      <c r="AD252" s="19"/>
      <c r="AE252" s="19"/>
    </row>
    <row r="253" spans="1:34">
      <c r="A253" s="9" t="s">
        <v>995</v>
      </c>
      <c r="B253" s="9" t="s">
        <v>996</v>
      </c>
      <c r="C253" s="9" t="s">
        <v>997</v>
      </c>
      <c r="D253" s="9" t="s">
        <v>1063</v>
      </c>
      <c r="E253" s="96"/>
      <c r="F253" s="9" t="s">
        <v>999</v>
      </c>
      <c r="G253" s="13" t="s">
        <v>1000</v>
      </c>
      <c r="H253" s="9" t="s">
        <v>1001</v>
      </c>
      <c r="I253" s="11" t="s">
        <v>1003</v>
      </c>
      <c r="J253" s="10" t="s">
        <v>1076</v>
      </c>
      <c r="K253" s="9" t="s">
        <v>1078</v>
      </c>
      <c r="L253" s="9">
        <v>18215526825</v>
      </c>
      <c r="M253" s="11" t="s">
        <v>1782</v>
      </c>
      <c r="N253" s="10" t="s">
        <v>1080</v>
      </c>
      <c r="O253" s="9" t="s">
        <v>1081</v>
      </c>
      <c r="P253" s="9">
        <v>18215526825</v>
      </c>
      <c r="Q253" s="10" t="s">
        <v>1783</v>
      </c>
      <c r="R253" s="10" t="s">
        <v>1083</v>
      </c>
      <c r="S253" s="57" t="s">
        <v>1784</v>
      </c>
      <c r="T253" s="57" t="s">
        <v>1083</v>
      </c>
      <c r="U253" s="100" t="s">
        <v>1785</v>
      </c>
      <c r="V253" s="101" t="s">
        <v>1786</v>
      </c>
      <c r="W253" s="100" t="s">
        <v>1087</v>
      </c>
      <c r="X253" s="102">
        <v>2573.11</v>
      </c>
      <c r="Y253" s="99">
        <v>373.8</v>
      </c>
      <c r="Z253" s="99">
        <v>331.34</v>
      </c>
      <c r="AA253" s="61"/>
      <c r="AB253" s="18"/>
      <c r="AC253" s="19"/>
      <c r="AD253" s="19"/>
      <c r="AE253" s="19"/>
    </row>
    <row r="254" spans="1:34">
      <c r="A254" s="9" t="s">
        <v>995</v>
      </c>
      <c r="B254" s="9" t="s">
        <v>996</v>
      </c>
      <c r="C254" s="9" t="s">
        <v>997</v>
      </c>
      <c r="D254" s="9" t="s">
        <v>1063</v>
      </c>
      <c r="E254" s="96"/>
      <c r="F254" s="9" t="s">
        <v>999</v>
      </c>
      <c r="G254" s="13" t="s">
        <v>1000</v>
      </c>
      <c r="H254" s="9" t="s">
        <v>1001</v>
      </c>
      <c r="I254" s="11" t="s">
        <v>1003</v>
      </c>
      <c r="J254" s="10" t="s">
        <v>1076</v>
      </c>
      <c r="K254" s="9" t="s">
        <v>1078</v>
      </c>
      <c r="L254" s="9">
        <v>18215526825</v>
      </c>
      <c r="M254" s="11" t="s">
        <v>1782</v>
      </c>
      <c r="N254" s="10" t="s">
        <v>1080</v>
      </c>
      <c r="O254" s="9" t="s">
        <v>1081</v>
      </c>
      <c r="P254" s="9">
        <v>18215526825</v>
      </c>
      <c r="Q254" s="10" t="s">
        <v>1783</v>
      </c>
      <c r="R254" s="10" t="s">
        <v>1083</v>
      </c>
      <c r="S254" s="57" t="s">
        <v>1784</v>
      </c>
      <c r="T254" s="57" t="s">
        <v>1083</v>
      </c>
      <c r="U254" s="100" t="s">
        <v>1787</v>
      </c>
      <c r="V254" s="101" t="s">
        <v>1786</v>
      </c>
      <c r="W254" s="100" t="s">
        <v>1089</v>
      </c>
      <c r="X254" s="103"/>
      <c r="Y254" s="99">
        <v>266</v>
      </c>
      <c r="Z254" s="99">
        <v>257.36</v>
      </c>
      <c r="AA254" s="61"/>
      <c r="AB254" s="18"/>
      <c r="AC254" s="19"/>
      <c r="AD254" s="19"/>
      <c r="AE254" s="19"/>
    </row>
    <row r="255" spans="1:34">
      <c r="A255" s="9" t="s">
        <v>995</v>
      </c>
      <c r="B255" s="9" t="s">
        <v>996</v>
      </c>
      <c r="C255" s="9" t="s">
        <v>997</v>
      </c>
      <c r="D255" s="9" t="s">
        <v>1063</v>
      </c>
      <c r="E255" s="96"/>
      <c r="F255" s="9" t="s">
        <v>999</v>
      </c>
      <c r="G255" s="13" t="s">
        <v>1000</v>
      </c>
      <c r="H255" s="9" t="s">
        <v>1001</v>
      </c>
      <c r="I255" s="11" t="s">
        <v>1003</v>
      </c>
      <c r="J255" s="10" t="s">
        <v>1076</v>
      </c>
      <c r="K255" s="9" t="s">
        <v>1081</v>
      </c>
      <c r="L255" s="9">
        <v>13882625255</v>
      </c>
      <c r="M255" s="11" t="s">
        <v>1788</v>
      </c>
      <c r="N255" s="10" t="s">
        <v>1091</v>
      </c>
      <c r="O255" s="9" t="s">
        <v>1092</v>
      </c>
      <c r="P255" s="9">
        <v>13882625255</v>
      </c>
      <c r="Q255" s="10" t="s">
        <v>1789</v>
      </c>
      <c r="R255" s="10" t="s">
        <v>1094</v>
      </c>
      <c r="S255" s="57" t="s">
        <v>1790</v>
      </c>
      <c r="T255" s="57" t="s">
        <v>1096</v>
      </c>
      <c r="U255" s="100" t="s">
        <v>1787</v>
      </c>
      <c r="V255" s="101" t="s">
        <v>1786</v>
      </c>
      <c r="W255" s="100" t="s">
        <v>1089</v>
      </c>
      <c r="X255" s="103"/>
      <c r="Y255" s="99">
        <v>495.52</v>
      </c>
      <c r="Z255" s="99">
        <v>463.5</v>
      </c>
      <c r="AA255" s="61"/>
      <c r="AB255" s="18"/>
      <c r="AC255" s="19"/>
      <c r="AD255" s="19"/>
      <c r="AE255" s="19"/>
    </row>
    <row r="256" spans="1:34">
      <c r="A256" s="9" t="s">
        <v>995</v>
      </c>
      <c r="B256" s="9" t="s">
        <v>996</v>
      </c>
      <c r="C256" s="9" t="s">
        <v>997</v>
      </c>
      <c r="D256" s="9" t="s">
        <v>1063</v>
      </c>
      <c r="E256" s="96"/>
      <c r="F256" s="9" t="s">
        <v>999</v>
      </c>
      <c r="G256" s="13" t="s">
        <v>1000</v>
      </c>
      <c r="H256" s="9" t="s">
        <v>1001</v>
      </c>
      <c r="I256" s="11" t="s">
        <v>1003</v>
      </c>
      <c r="J256" s="10" t="s">
        <v>1076</v>
      </c>
      <c r="K256" s="9" t="s">
        <v>1092</v>
      </c>
      <c r="L256" s="9">
        <v>19197827601</v>
      </c>
      <c r="M256" s="11" t="s">
        <v>1791</v>
      </c>
      <c r="N256" s="10" t="s">
        <v>1098</v>
      </c>
      <c r="O256" s="9" t="s">
        <v>1099</v>
      </c>
      <c r="P256" s="9">
        <v>19197827601</v>
      </c>
      <c r="Q256" s="10" t="s">
        <v>1792</v>
      </c>
      <c r="R256" s="10" t="s">
        <v>1101</v>
      </c>
      <c r="S256" s="57" t="s">
        <v>1793</v>
      </c>
      <c r="T256" s="57" t="s">
        <v>1101</v>
      </c>
      <c r="U256" s="100" t="s">
        <v>1785</v>
      </c>
      <c r="V256" s="101" t="s">
        <v>1786</v>
      </c>
      <c r="W256" s="100" t="s">
        <v>1087</v>
      </c>
      <c r="X256" s="103"/>
      <c r="Y256" s="99">
        <v>442.86</v>
      </c>
      <c r="Z256" s="99">
        <v>419.85</v>
      </c>
      <c r="AA256" s="61"/>
      <c r="AB256" s="18"/>
      <c r="AC256" s="19"/>
      <c r="AD256" s="19"/>
      <c r="AE256" s="19"/>
    </row>
    <row r="257" spans="1:34">
      <c r="A257" s="9" t="s">
        <v>995</v>
      </c>
      <c r="B257" s="9" t="s">
        <v>996</v>
      </c>
      <c r="C257" s="9" t="s">
        <v>997</v>
      </c>
      <c r="D257" s="9" t="s">
        <v>1063</v>
      </c>
      <c r="E257" s="96"/>
      <c r="F257" s="9" t="s">
        <v>999</v>
      </c>
      <c r="G257" s="13" t="s">
        <v>1000</v>
      </c>
      <c r="H257" s="9" t="s">
        <v>1001</v>
      </c>
      <c r="I257" s="11" t="s">
        <v>1003</v>
      </c>
      <c r="J257" s="10" t="s">
        <v>1076</v>
      </c>
      <c r="K257" s="9" t="s">
        <v>1092</v>
      </c>
      <c r="L257" s="9">
        <v>19197827601</v>
      </c>
      <c r="M257" s="11" t="s">
        <v>1791</v>
      </c>
      <c r="N257" s="10" t="s">
        <v>1098</v>
      </c>
      <c r="O257" s="9" t="s">
        <v>1099</v>
      </c>
      <c r="P257" s="9">
        <v>19197827601</v>
      </c>
      <c r="Q257" s="10" t="s">
        <v>1792</v>
      </c>
      <c r="R257" s="10" t="s">
        <v>1101</v>
      </c>
      <c r="S257" s="57" t="s">
        <v>1793</v>
      </c>
      <c r="T257" s="57" t="s">
        <v>1101</v>
      </c>
      <c r="U257" s="100" t="s">
        <v>1787</v>
      </c>
      <c r="V257" s="101" t="s">
        <v>1786</v>
      </c>
      <c r="W257" s="100" t="s">
        <v>1089</v>
      </c>
      <c r="X257" s="103"/>
      <c r="Y257" s="99">
        <v>153.91</v>
      </c>
      <c r="Z257" s="99">
        <v>144.66</v>
      </c>
      <c r="AA257" s="61"/>
      <c r="AB257" s="18"/>
      <c r="AC257" s="19"/>
      <c r="AD257" s="19"/>
      <c r="AE257" s="19"/>
    </row>
    <row r="258" s="1" customFormat="1" spans="1:34">
      <c r="A258" s="21" t="s">
        <v>995</v>
      </c>
      <c r="B258" s="21" t="s">
        <v>996</v>
      </c>
      <c r="C258" s="21" t="s">
        <v>997</v>
      </c>
      <c r="D258" s="21" t="s">
        <v>1063</v>
      </c>
      <c r="E258" s="104"/>
      <c r="F258" s="21" t="s">
        <v>999</v>
      </c>
      <c r="G258" s="21" t="s">
        <v>1000</v>
      </c>
      <c r="H258" s="21" t="s">
        <v>1001</v>
      </c>
      <c r="I258" s="23" t="s">
        <v>1003</v>
      </c>
      <c r="J258" s="22" t="s">
        <v>1004</v>
      </c>
      <c r="K258" s="21" t="s">
        <v>1794</v>
      </c>
      <c r="L258" s="21">
        <v>18381113649</v>
      </c>
      <c r="M258" s="23" t="s">
        <v>1795</v>
      </c>
      <c r="N258" s="22" t="s">
        <v>1796</v>
      </c>
      <c r="O258" s="21" t="s">
        <v>1794</v>
      </c>
      <c r="P258" s="21">
        <v>18381113649</v>
      </c>
      <c r="Q258" s="22" t="s">
        <v>1797</v>
      </c>
      <c r="R258" s="22" t="s">
        <v>1796</v>
      </c>
      <c r="S258" s="24" t="s">
        <v>1798</v>
      </c>
      <c r="T258" s="24" t="s">
        <v>1799</v>
      </c>
      <c r="U258" s="105" t="s">
        <v>1785</v>
      </c>
      <c r="V258" s="105" t="s">
        <v>1786</v>
      </c>
      <c r="W258" s="105" t="s">
        <v>1087</v>
      </c>
      <c r="X258" s="103"/>
      <c r="Y258" s="106"/>
      <c r="Z258" s="106"/>
      <c r="AA258" s="28"/>
      <c r="AB258" s="29"/>
      <c r="AC258" s="30"/>
      <c r="AD258" s="30"/>
      <c r="AE258" s="30"/>
      <c r="AF258" s="107"/>
      <c r="AG258" s="107"/>
      <c r="AH258" s="107"/>
    </row>
    <row r="259" spans="1:34">
      <c r="A259" s="9" t="s">
        <v>995</v>
      </c>
      <c r="B259" s="9" t="s">
        <v>996</v>
      </c>
      <c r="C259" s="9" t="s">
        <v>997</v>
      </c>
      <c r="D259" s="9" t="s">
        <v>1063</v>
      </c>
      <c r="E259" s="96"/>
      <c r="F259" s="9" t="s">
        <v>999</v>
      </c>
      <c r="G259" s="13" t="s">
        <v>1000</v>
      </c>
      <c r="H259" s="9" t="s">
        <v>1001</v>
      </c>
      <c r="I259" s="11" t="s">
        <v>1003</v>
      </c>
      <c r="J259" s="10" t="s">
        <v>1076</v>
      </c>
      <c r="K259" s="9" t="s">
        <v>1078</v>
      </c>
      <c r="L259" s="9">
        <v>18582611088</v>
      </c>
      <c r="M259" s="11" t="s">
        <v>1800</v>
      </c>
      <c r="N259" s="10" t="s">
        <v>1106</v>
      </c>
      <c r="O259" s="9" t="s">
        <v>1078</v>
      </c>
      <c r="P259" s="9">
        <v>18582611088</v>
      </c>
      <c r="Q259" s="10" t="s">
        <v>1801</v>
      </c>
      <c r="R259" s="10" t="s">
        <v>1108</v>
      </c>
      <c r="S259" s="57" t="s">
        <v>1802</v>
      </c>
      <c r="T259" s="57" t="s">
        <v>1108</v>
      </c>
      <c r="U259" s="100" t="s">
        <v>1785</v>
      </c>
      <c r="V259" s="101" t="s">
        <v>1786</v>
      </c>
      <c r="W259" s="100" t="s">
        <v>1087</v>
      </c>
      <c r="X259" s="103"/>
      <c r="Y259" s="99">
        <v>598.61</v>
      </c>
      <c r="Z259" s="99">
        <v>562.44</v>
      </c>
      <c r="AA259" s="61"/>
      <c r="AB259" s="18"/>
      <c r="AC259" s="19"/>
      <c r="AD259" s="19"/>
      <c r="AE259" s="19"/>
    </row>
    <row r="260" spans="1:34">
      <c r="A260" s="9" t="s">
        <v>995</v>
      </c>
      <c r="B260" s="9" t="s">
        <v>996</v>
      </c>
      <c r="C260" s="9" t="s">
        <v>997</v>
      </c>
      <c r="D260" s="9" t="s">
        <v>1063</v>
      </c>
      <c r="E260" s="96"/>
      <c r="F260" s="9" t="s">
        <v>999</v>
      </c>
      <c r="G260" s="13" t="s">
        <v>1000</v>
      </c>
      <c r="H260" s="9" t="s">
        <v>1001</v>
      </c>
      <c r="I260" s="11" t="s">
        <v>1025</v>
      </c>
      <c r="J260" s="10" t="s">
        <v>1110</v>
      </c>
      <c r="K260" s="9" t="s">
        <v>1111</v>
      </c>
      <c r="L260" s="9">
        <v>18036200722</v>
      </c>
      <c r="M260" s="11" t="s">
        <v>1028</v>
      </c>
      <c r="N260" s="10" t="s">
        <v>1113</v>
      </c>
      <c r="O260" s="9" t="s">
        <v>1111</v>
      </c>
      <c r="P260" s="9">
        <v>18036200722</v>
      </c>
      <c r="Q260" s="10" t="s">
        <v>1030</v>
      </c>
      <c r="R260" s="10" t="s">
        <v>1113</v>
      </c>
      <c r="S260" s="57" t="s">
        <v>1031</v>
      </c>
      <c r="T260" s="57" t="s">
        <v>1117</v>
      </c>
      <c r="U260" s="64" t="s">
        <v>1803</v>
      </c>
      <c r="V260" s="9" t="s">
        <v>1765</v>
      </c>
      <c r="W260" s="64" t="s">
        <v>1118</v>
      </c>
      <c r="X260" s="97">
        <v>1084.47</v>
      </c>
      <c r="Y260" s="99">
        <v>1081</v>
      </c>
      <c r="Z260" s="99">
        <v>1027.26</v>
      </c>
      <c r="AA260" s="61" t="s">
        <v>1420</v>
      </c>
      <c r="AB260" s="18"/>
      <c r="AC260" s="19"/>
      <c r="AD260" s="19"/>
      <c r="AE260" s="19"/>
    </row>
    <row r="261" s="33" customFormat="1" spans="1:34">
      <c r="A261" s="13" t="s">
        <v>995</v>
      </c>
      <c r="B261" s="13" t="s">
        <v>996</v>
      </c>
      <c r="C261" s="13" t="s">
        <v>997</v>
      </c>
      <c r="D261" s="13" t="s">
        <v>1063</v>
      </c>
      <c r="E261" s="55"/>
      <c r="F261" s="13" t="s">
        <v>999</v>
      </c>
      <c r="G261" s="13" t="s">
        <v>1000</v>
      </c>
      <c r="H261" s="13" t="s">
        <v>1001</v>
      </c>
      <c r="I261" s="56" t="s">
        <v>1025</v>
      </c>
      <c r="J261" s="54" t="s">
        <v>1110</v>
      </c>
      <c r="K261" s="13" t="s">
        <v>1111</v>
      </c>
      <c r="L261" s="13">
        <v>18036200722</v>
      </c>
      <c r="M261" s="56" t="s">
        <v>1028</v>
      </c>
      <c r="N261" s="54" t="s">
        <v>1113</v>
      </c>
      <c r="O261" s="13" t="s">
        <v>1111</v>
      </c>
      <c r="P261" s="13">
        <v>18036200722</v>
      </c>
      <c r="Q261" s="54" t="s">
        <v>1030</v>
      </c>
      <c r="R261" s="54" t="s">
        <v>1113</v>
      </c>
      <c r="S261" s="57" t="s">
        <v>1034</v>
      </c>
      <c r="T261" s="57" t="s">
        <v>1120</v>
      </c>
      <c r="U261" s="13" t="s">
        <v>1803</v>
      </c>
      <c r="V261" s="13" t="s">
        <v>1765</v>
      </c>
      <c r="W261" s="13" t="s">
        <v>1121</v>
      </c>
      <c r="X261" s="108">
        <v>45.65</v>
      </c>
      <c r="Y261" s="60">
        <v>42.52</v>
      </c>
      <c r="Z261" s="60">
        <v>26.63</v>
      </c>
      <c r="AA261" s="61" t="s">
        <v>1420</v>
      </c>
      <c r="AB261" s="18"/>
      <c r="AC261" s="19"/>
      <c r="AD261" s="19"/>
      <c r="AE261" s="19"/>
      <c r="AF261" s="38"/>
      <c r="AG261" s="38"/>
      <c r="AH261" s="38"/>
    </row>
    <row r="262" spans="1:34">
      <c r="A262" s="9" t="s">
        <v>995</v>
      </c>
      <c r="B262" s="9" t="s">
        <v>996</v>
      </c>
      <c r="C262" s="9" t="s">
        <v>997</v>
      </c>
      <c r="D262" s="9" t="s">
        <v>1024</v>
      </c>
      <c r="E262" s="96"/>
      <c r="F262" s="9" t="s">
        <v>999</v>
      </c>
      <c r="G262" s="13" t="s">
        <v>1000</v>
      </c>
      <c r="H262" s="9" t="s">
        <v>1001</v>
      </c>
      <c r="I262" s="11" t="s">
        <v>1025</v>
      </c>
      <c r="J262" s="10" t="s">
        <v>1110</v>
      </c>
      <c r="K262" s="9" t="s">
        <v>1111</v>
      </c>
      <c r="L262" s="9">
        <v>19976719338</v>
      </c>
      <c r="M262" s="11" t="s">
        <v>1122</v>
      </c>
      <c r="N262" s="10" t="s">
        <v>1123</v>
      </c>
      <c r="O262" s="9" t="s">
        <v>1124</v>
      </c>
      <c r="P262" s="9">
        <v>19976719338</v>
      </c>
      <c r="Q262" s="10" t="s">
        <v>1125</v>
      </c>
      <c r="R262" s="10" t="s">
        <v>1123</v>
      </c>
      <c r="S262" s="57" t="s">
        <v>1126</v>
      </c>
      <c r="T262" s="57" t="s">
        <v>1127</v>
      </c>
      <c r="U262" s="64" t="s">
        <v>1804</v>
      </c>
      <c r="V262" s="9" t="s">
        <v>1765</v>
      </c>
      <c r="W262" s="64" t="s">
        <v>1128</v>
      </c>
      <c r="X262" s="97">
        <v>267.53</v>
      </c>
      <c r="Y262" s="99">
        <v>269.2</v>
      </c>
      <c r="Z262" s="99">
        <v>260.64</v>
      </c>
      <c r="AA262" s="61" t="s">
        <v>1420</v>
      </c>
      <c r="AB262" s="18"/>
      <c r="AC262" s="19"/>
      <c r="AD262" s="19"/>
      <c r="AE262" s="19"/>
    </row>
    <row r="263" spans="1:34">
      <c r="A263" s="9" t="s">
        <v>995</v>
      </c>
      <c r="B263" s="9" t="s">
        <v>996</v>
      </c>
      <c r="C263" s="9" t="s">
        <v>997</v>
      </c>
      <c r="D263" s="9" t="s">
        <v>1063</v>
      </c>
      <c r="E263" s="96"/>
      <c r="F263" s="9" t="s">
        <v>999</v>
      </c>
      <c r="G263" s="13" t="s">
        <v>1000</v>
      </c>
      <c r="H263" s="9" t="s">
        <v>1001</v>
      </c>
      <c r="I263" s="11" t="s">
        <v>1025</v>
      </c>
      <c r="J263" s="10" t="s">
        <v>1110</v>
      </c>
      <c r="K263" s="9" t="s">
        <v>1111</v>
      </c>
      <c r="L263" s="9">
        <v>18036200722</v>
      </c>
      <c r="M263" s="11" t="s">
        <v>1805</v>
      </c>
      <c r="N263" s="10" t="s">
        <v>1130</v>
      </c>
      <c r="O263" s="9" t="s">
        <v>1131</v>
      </c>
      <c r="P263" s="9">
        <v>15397693882</v>
      </c>
      <c r="Q263" s="10" t="s">
        <v>1806</v>
      </c>
      <c r="R263" s="10" t="s">
        <v>1130</v>
      </c>
      <c r="S263" s="57" t="s">
        <v>1807</v>
      </c>
      <c r="T263" s="57" t="s">
        <v>1134</v>
      </c>
      <c r="U263" s="64" t="s">
        <v>1808</v>
      </c>
      <c r="V263" s="9" t="s">
        <v>1809</v>
      </c>
      <c r="W263" s="64" t="s">
        <v>1135</v>
      </c>
      <c r="X263" s="97">
        <v>341.61</v>
      </c>
      <c r="Y263" s="99">
        <v>330.45</v>
      </c>
      <c r="Z263" s="99">
        <v>299.2</v>
      </c>
      <c r="AA263" s="61" t="s">
        <v>1420</v>
      </c>
      <c r="AB263" s="18"/>
      <c r="AC263" s="19"/>
      <c r="AD263" s="19"/>
      <c r="AE263" s="19"/>
    </row>
    <row r="264" spans="1:34">
      <c r="A264" s="9" t="s">
        <v>995</v>
      </c>
      <c r="B264" s="9" t="s">
        <v>996</v>
      </c>
      <c r="C264" s="9" t="s">
        <v>997</v>
      </c>
      <c r="D264" s="9" t="s">
        <v>1063</v>
      </c>
      <c r="E264" s="96"/>
      <c r="F264" s="9" t="s">
        <v>999</v>
      </c>
      <c r="G264" s="13" t="s">
        <v>1000</v>
      </c>
      <c r="H264" s="9" t="s">
        <v>1001</v>
      </c>
      <c r="I264" s="11" t="s">
        <v>1025</v>
      </c>
      <c r="J264" s="10" t="s">
        <v>1110</v>
      </c>
      <c r="K264" s="9" t="s">
        <v>1111</v>
      </c>
      <c r="L264" s="9">
        <v>18036200722</v>
      </c>
      <c r="M264" s="11" t="s">
        <v>1810</v>
      </c>
      <c r="N264" s="10" t="s">
        <v>1137</v>
      </c>
      <c r="O264" s="9" t="s">
        <v>1138</v>
      </c>
      <c r="P264" s="9">
        <v>13739472510</v>
      </c>
      <c r="Q264" s="10" t="s">
        <v>1811</v>
      </c>
      <c r="R264" s="10" t="s">
        <v>1137</v>
      </c>
      <c r="S264" s="57" t="s">
        <v>1812</v>
      </c>
      <c r="T264" s="57" t="s">
        <v>1141</v>
      </c>
      <c r="U264" s="64" t="s">
        <v>1813</v>
      </c>
      <c r="V264" s="9" t="s">
        <v>1809</v>
      </c>
      <c r="W264" s="64" t="s">
        <v>1142</v>
      </c>
      <c r="X264" s="97">
        <v>385.89</v>
      </c>
      <c r="Y264" s="99">
        <v>381.6</v>
      </c>
      <c r="Z264" s="99">
        <v>366.72</v>
      </c>
      <c r="AA264" s="61"/>
      <c r="AB264" s="18"/>
      <c r="AC264" s="19"/>
      <c r="AD264" s="19"/>
      <c r="AE264" s="19"/>
    </row>
    <row r="265" spans="1:34">
      <c r="A265" s="9" t="s">
        <v>995</v>
      </c>
      <c r="B265" s="9" t="s">
        <v>996</v>
      </c>
      <c r="C265" s="9" t="s">
        <v>997</v>
      </c>
      <c r="D265" s="9" t="s">
        <v>1063</v>
      </c>
      <c r="E265" s="96"/>
      <c r="F265" s="9" t="s">
        <v>999</v>
      </c>
      <c r="G265" s="13" t="s">
        <v>1000</v>
      </c>
      <c r="H265" s="9" t="s">
        <v>1001</v>
      </c>
      <c r="I265" s="11" t="s">
        <v>1041</v>
      </c>
      <c r="J265" s="10" t="s">
        <v>1143</v>
      </c>
      <c r="K265" s="9" t="s">
        <v>1144</v>
      </c>
      <c r="L265" s="9">
        <v>15390178357</v>
      </c>
      <c r="M265" s="11" t="s">
        <v>1044</v>
      </c>
      <c r="N265" s="10" t="s">
        <v>1146</v>
      </c>
      <c r="O265" s="9" t="s">
        <v>1814</v>
      </c>
      <c r="P265" s="9">
        <v>15390178357</v>
      </c>
      <c r="Q265" s="10" t="s">
        <v>1046</v>
      </c>
      <c r="R265" s="10" t="s">
        <v>1146</v>
      </c>
      <c r="S265" s="57" t="s">
        <v>1047</v>
      </c>
      <c r="T265" s="57" t="s">
        <v>1150</v>
      </c>
      <c r="U265" s="64" t="s">
        <v>1815</v>
      </c>
      <c r="V265" s="9" t="s">
        <v>1809</v>
      </c>
      <c r="W265" s="64" t="s">
        <v>1151</v>
      </c>
      <c r="X265" s="97">
        <v>462.2</v>
      </c>
      <c r="Y265" s="99">
        <v>418.15</v>
      </c>
      <c r="Z265" s="99">
        <v>402.27</v>
      </c>
      <c r="AA265" s="61" t="s">
        <v>1420</v>
      </c>
      <c r="AB265" s="18"/>
      <c r="AC265" s="19"/>
      <c r="AD265" s="19"/>
      <c r="AE265" s="19"/>
    </row>
    <row r="266" spans="1:34">
      <c r="A266" s="9" t="s">
        <v>995</v>
      </c>
      <c r="B266" s="9" t="s">
        <v>996</v>
      </c>
      <c r="C266" s="9" t="s">
        <v>997</v>
      </c>
      <c r="D266" s="9" t="s">
        <v>1063</v>
      </c>
      <c r="E266" s="96"/>
      <c r="F266" s="9" t="s">
        <v>999</v>
      </c>
      <c r="G266" s="13" t="s">
        <v>1000</v>
      </c>
      <c r="H266" s="9" t="s">
        <v>1001</v>
      </c>
      <c r="I266" s="11" t="s">
        <v>1041</v>
      </c>
      <c r="J266" s="10" t="s">
        <v>1143</v>
      </c>
      <c r="K266" s="9" t="s">
        <v>1144</v>
      </c>
      <c r="L266" s="9">
        <v>15390178357</v>
      </c>
      <c r="M266" s="11" t="s">
        <v>1044</v>
      </c>
      <c r="N266" s="10" t="s">
        <v>1146</v>
      </c>
      <c r="O266" s="9" t="s">
        <v>1814</v>
      </c>
      <c r="P266" s="9">
        <v>15390178357</v>
      </c>
      <c r="Q266" s="10" t="s">
        <v>1816</v>
      </c>
      <c r="R266" s="10" t="s">
        <v>1130</v>
      </c>
      <c r="S266" s="57" t="s">
        <v>1817</v>
      </c>
      <c r="T266" s="57" t="s">
        <v>1154</v>
      </c>
      <c r="U266" s="64" t="s">
        <v>1808</v>
      </c>
      <c r="V266" s="9" t="s">
        <v>1809</v>
      </c>
      <c r="W266" s="64" t="s">
        <v>1135</v>
      </c>
      <c r="X266" s="97">
        <v>121</v>
      </c>
      <c r="Y266" s="99">
        <v>118.3</v>
      </c>
      <c r="Z266" s="99">
        <v>117.8</v>
      </c>
      <c r="AA266" s="61" t="s">
        <v>1420</v>
      </c>
      <c r="AB266" s="18"/>
      <c r="AC266" s="19"/>
      <c r="AD266" s="19"/>
      <c r="AE266" s="19"/>
    </row>
    <row r="267" spans="1:34">
      <c r="A267" s="9" t="s">
        <v>995</v>
      </c>
      <c r="B267" s="9" t="s">
        <v>996</v>
      </c>
      <c r="C267" s="9" t="s">
        <v>997</v>
      </c>
      <c r="D267" s="9" t="s">
        <v>1063</v>
      </c>
      <c r="E267" s="96"/>
      <c r="F267" s="9" t="s">
        <v>999</v>
      </c>
      <c r="G267" s="13" t="s">
        <v>1000</v>
      </c>
      <c r="H267" s="9" t="s">
        <v>1001</v>
      </c>
      <c r="I267" s="11" t="s">
        <v>1064</v>
      </c>
      <c r="J267" s="10" t="s">
        <v>1155</v>
      </c>
      <c r="K267" s="9" t="s">
        <v>1156</v>
      </c>
      <c r="L267" s="9">
        <v>13588989990</v>
      </c>
      <c r="M267" s="11" t="s">
        <v>1067</v>
      </c>
      <c r="N267" s="10" t="s">
        <v>1158</v>
      </c>
      <c r="O267" s="9" t="s">
        <v>1818</v>
      </c>
      <c r="P267" s="9">
        <v>17796480684</v>
      </c>
      <c r="Q267" s="10" t="s">
        <v>1070</v>
      </c>
      <c r="R267" s="10" t="s">
        <v>1071</v>
      </c>
      <c r="S267" s="57" t="s">
        <v>1072</v>
      </c>
      <c r="T267" s="57" t="s">
        <v>1161</v>
      </c>
      <c r="U267" s="64" t="s">
        <v>1781</v>
      </c>
      <c r="V267" s="9" t="s">
        <v>1809</v>
      </c>
      <c r="W267" s="64" t="s">
        <v>1074</v>
      </c>
      <c r="X267" s="97">
        <v>625.08</v>
      </c>
      <c r="Y267" s="99">
        <v>583.86</v>
      </c>
      <c r="Z267" s="99">
        <v>551.74</v>
      </c>
      <c r="AA267" s="61" t="s">
        <v>1420</v>
      </c>
      <c r="AB267" s="18"/>
      <c r="AC267" s="19"/>
      <c r="AD267" s="19"/>
      <c r="AE267" s="19"/>
    </row>
    <row r="268" spans="1:34">
      <c r="A268" s="9" t="s">
        <v>995</v>
      </c>
      <c r="B268" s="9" t="s">
        <v>996</v>
      </c>
      <c r="C268" s="9" t="s">
        <v>997</v>
      </c>
      <c r="D268" s="9" t="s">
        <v>1063</v>
      </c>
      <c r="E268" s="96"/>
      <c r="F268" s="9" t="s">
        <v>999</v>
      </c>
      <c r="G268" s="13" t="s">
        <v>1000</v>
      </c>
      <c r="H268" s="9" t="s">
        <v>1001</v>
      </c>
      <c r="I268" s="11" t="s">
        <v>1064</v>
      </c>
      <c r="J268" s="10" t="s">
        <v>1155</v>
      </c>
      <c r="K268" s="9" t="s">
        <v>1156</v>
      </c>
      <c r="L268" s="9">
        <v>13588989990</v>
      </c>
      <c r="M268" s="11" t="s">
        <v>1067</v>
      </c>
      <c r="N268" s="10" t="s">
        <v>1158</v>
      </c>
      <c r="O268" s="9" t="s">
        <v>1818</v>
      </c>
      <c r="P268" s="9">
        <v>17796480684</v>
      </c>
      <c r="Q268" s="10" t="s">
        <v>1070</v>
      </c>
      <c r="R268" s="10" t="s">
        <v>1071</v>
      </c>
      <c r="S268" s="57" t="s">
        <v>1819</v>
      </c>
      <c r="T268" s="57" t="s">
        <v>1163</v>
      </c>
      <c r="U268" s="64" t="s">
        <v>1781</v>
      </c>
      <c r="V268" s="9" t="s">
        <v>1809</v>
      </c>
      <c r="W268" s="64" t="s">
        <v>1164</v>
      </c>
      <c r="X268" s="97">
        <v>33.33</v>
      </c>
      <c r="Y268" s="99">
        <v>27.6</v>
      </c>
      <c r="Z268" s="99">
        <v>19.67</v>
      </c>
      <c r="AA268" s="61" t="s">
        <v>1420</v>
      </c>
      <c r="AB268" s="18"/>
      <c r="AC268" s="19"/>
      <c r="AD268" s="19"/>
      <c r="AE268" s="19"/>
    </row>
    <row r="269" spans="1:34">
      <c r="A269" s="9" t="s">
        <v>995</v>
      </c>
      <c r="B269" s="9" t="s">
        <v>996</v>
      </c>
      <c r="C269" s="9" t="s">
        <v>997</v>
      </c>
      <c r="D269" s="9" t="s">
        <v>1063</v>
      </c>
      <c r="E269" s="96"/>
      <c r="F269" s="9" t="s">
        <v>999</v>
      </c>
      <c r="G269" s="13" t="s">
        <v>1000</v>
      </c>
      <c r="H269" s="9" t="s">
        <v>1001</v>
      </c>
      <c r="I269" s="11" t="s">
        <v>1064</v>
      </c>
      <c r="J269" s="10" t="s">
        <v>1155</v>
      </c>
      <c r="K269" s="9" t="s">
        <v>1156</v>
      </c>
      <c r="L269" s="9">
        <v>13588989990</v>
      </c>
      <c r="M269" s="11" t="s">
        <v>1067</v>
      </c>
      <c r="N269" s="10" t="s">
        <v>1158</v>
      </c>
      <c r="O269" s="9" t="s">
        <v>1818</v>
      </c>
      <c r="P269" s="9">
        <v>17796480684</v>
      </c>
      <c r="Q269" s="10" t="s">
        <v>1820</v>
      </c>
      <c r="R269" s="10" t="s">
        <v>1166</v>
      </c>
      <c r="S269" s="57" t="s">
        <v>1821</v>
      </c>
      <c r="T269" s="57" t="s">
        <v>1168</v>
      </c>
      <c r="U269" s="64" t="s">
        <v>1813</v>
      </c>
      <c r="V269" s="9" t="s">
        <v>1765</v>
      </c>
      <c r="W269" s="64" t="s">
        <v>1169</v>
      </c>
      <c r="X269" s="97">
        <v>457.33</v>
      </c>
      <c r="Y269" s="99">
        <v>441.14</v>
      </c>
      <c r="Z269" s="99">
        <v>404.8</v>
      </c>
      <c r="AA269" s="61" t="s">
        <v>1420</v>
      </c>
      <c r="AB269" s="18"/>
      <c r="AC269" s="19"/>
      <c r="AD269" s="19"/>
      <c r="AE269" s="19"/>
    </row>
    <row r="270" spans="1:34">
      <c r="A270" s="9" t="s">
        <v>995</v>
      </c>
      <c r="B270" s="9" t="s">
        <v>996</v>
      </c>
      <c r="C270" s="9" t="s">
        <v>997</v>
      </c>
      <c r="D270" s="9" t="s">
        <v>1063</v>
      </c>
      <c r="E270" s="96"/>
      <c r="F270" s="9" t="s">
        <v>999</v>
      </c>
      <c r="G270" s="13" t="s">
        <v>1000</v>
      </c>
      <c r="H270" s="9" t="s">
        <v>1001</v>
      </c>
      <c r="I270" s="11" t="s">
        <v>1075</v>
      </c>
      <c r="J270" s="10" t="s">
        <v>1170</v>
      </c>
      <c r="K270" s="9" t="s">
        <v>1171</v>
      </c>
      <c r="L270" s="9">
        <v>13216333231</v>
      </c>
      <c r="M270" s="11" t="s">
        <v>1079</v>
      </c>
      <c r="N270" s="10" t="s">
        <v>1173</v>
      </c>
      <c r="O270" s="9" t="s">
        <v>1822</v>
      </c>
      <c r="P270" s="9">
        <v>18582729769</v>
      </c>
      <c r="Q270" s="10" t="s">
        <v>1082</v>
      </c>
      <c r="R270" s="10" t="s">
        <v>1173</v>
      </c>
      <c r="S270" s="57" t="s">
        <v>1084</v>
      </c>
      <c r="T270" s="57" t="s">
        <v>1177</v>
      </c>
      <c r="U270" s="64" t="s">
        <v>1767</v>
      </c>
      <c r="V270" s="9" t="s">
        <v>1761</v>
      </c>
      <c r="W270" s="64" t="s">
        <v>1178</v>
      </c>
      <c r="X270" s="97">
        <v>225.71</v>
      </c>
      <c r="Y270" s="99">
        <v>217.63</v>
      </c>
      <c r="Z270" s="99">
        <v>214.09</v>
      </c>
      <c r="AA270" s="61" t="s">
        <v>1420</v>
      </c>
      <c r="AB270" s="18"/>
      <c r="AC270" s="19"/>
      <c r="AD270" s="19"/>
      <c r="AE270" s="19"/>
    </row>
    <row r="271" spans="1:34">
      <c r="A271" s="9" t="s">
        <v>995</v>
      </c>
      <c r="B271" s="9" t="s">
        <v>996</v>
      </c>
      <c r="C271" s="9" t="s">
        <v>997</v>
      </c>
      <c r="D271" s="9" t="s">
        <v>1063</v>
      </c>
      <c r="E271" s="96"/>
      <c r="F271" s="9" t="s">
        <v>999</v>
      </c>
      <c r="G271" s="13" t="s">
        <v>1000</v>
      </c>
      <c r="H271" s="9" t="s">
        <v>1001</v>
      </c>
      <c r="I271" s="11" t="s">
        <v>1075</v>
      </c>
      <c r="J271" s="10" t="s">
        <v>1170</v>
      </c>
      <c r="K271" s="9" t="s">
        <v>1171</v>
      </c>
      <c r="L271" s="9">
        <v>13216333231</v>
      </c>
      <c r="M271" s="11" t="s">
        <v>1079</v>
      </c>
      <c r="N271" s="10" t="s">
        <v>1173</v>
      </c>
      <c r="O271" s="9" t="s">
        <v>1822</v>
      </c>
      <c r="P271" s="9">
        <v>18582729769</v>
      </c>
      <c r="Q271" s="10" t="s">
        <v>1082</v>
      </c>
      <c r="R271" s="10" t="s">
        <v>1173</v>
      </c>
      <c r="S271" s="57" t="s">
        <v>1823</v>
      </c>
      <c r="T271" s="57" t="s">
        <v>1180</v>
      </c>
      <c r="U271" s="64" t="s">
        <v>1815</v>
      </c>
      <c r="V271" s="9" t="s">
        <v>1809</v>
      </c>
      <c r="W271" s="64" t="s">
        <v>1021</v>
      </c>
      <c r="X271" s="97">
        <v>121.91</v>
      </c>
      <c r="Y271" s="99">
        <v>113.03</v>
      </c>
      <c r="Z271" s="99">
        <v>111.68</v>
      </c>
      <c r="AA271" s="61" t="s">
        <v>1420</v>
      </c>
      <c r="AB271" s="18"/>
      <c r="AC271" s="19"/>
      <c r="AD271" s="19"/>
      <c r="AE271" s="19"/>
    </row>
    <row r="272" spans="1:34">
      <c r="A272" s="9" t="s">
        <v>995</v>
      </c>
      <c r="B272" s="9" t="s">
        <v>996</v>
      </c>
      <c r="C272" s="9" t="s">
        <v>997</v>
      </c>
      <c r="D272" s="9" t="s">
        <v>1063</v>
      </c>
      <c r="E272" s="96"/>
      <c r="F272" s="9" t="s">
        <v>999</v>
      </c>
      <c r="G272" s="13" t="s">
        <v>1000</v>
      </c>
      <c r="H272" s="9" t="s">
        <v>1001</v>
      </c>
      <c r="I272" s="11" t="s">
        <v>1075</v>
      </c>
      <c r="J272" s="10" t="s">
        <v>1170</v>
      </c>
      <c r="K272" s="9" t="s">
        <v>1171</v>
      </c>
      <c r="L272" s="9">
        <v>13216333231</v>
      </c>
      <c r="M272" s="11" t="s">
        <v>1079</v>
      </c>
      <c r="N272" s="10" t="s">
        <v>1173</v>
      </c>
      <c r="O272" s="9" t="s">
        <v>1822</v>
      </c>
      <c r="P272" s="9">
        <v>18582729769</v>
      </c>
      <c r="Q272" s="10" t="s">
        <v>1082</v>
      </c>
      <c r="R272" s="10" t="s">
        <v>1173</v>
      </c>
      <c r="S272" s="57" t="s">
        <v>1824</v>
      </c>
      <c r="T272" s="57" t="s">
        <v>1182</v>
      </c>
      <c r="U272" s="64" t="s">
        <v>1825</v>
      </c>
      <c r="V272" s="9" t="s">
        <v>1761</v>
      </c>
      <c r="W272" s="64" t="s">
        <v>1183</v>
      </c>
      <c r="X272" s="97">
        <v>79.15</v>
      </c>
      <c r="Y272" s="99">
        <v>74.97</v>
      </c>
      <c r="Z272" s="99">
        <v>63.9</v>
      </c>
      <c r="AA272" s="61" t="s">
        <v>1420</v>
      </c>
      <c r="AB272" s="18"/>
      <c r="AC272" s="19"/>
      <c r="AD272" s="19"/>
      <c r="AE272" s="19"/>
    </row>
    <row r="273" spans="1:31">
      <c r="A273" s="9" t="s">
        <v>995</v>
      </c>
      <c r="B273" s="9" t="s">
        <v>996</v>
      </c>
      <c r="C273" s="9" t="s">
        <v>997</v>
      </c>
      <c r="D273" s="9" t="s">
        <v>1063</v>
      </c>
      <c r="E273" s="96"/>
      <c r="F273" s="9" t="s">
        <v>999</v>
      </c>
      <c r="G273" s="13" t="s">
        <v>1000</v>
      </c>
      <c r="H273" s="9" t="s">
        <v>1001</v>
      </c>
      <c r="I273" s="11" t="s">
        <v>1075</v>
      </c>
      <c r="J273" s="10" t="s">
        <v>1170</v>
      </c>
      <c r="K273" s="9" t="s">
        <v>1171</v>
      </c>
      <c r="L273" s="9">
        <v>13216333231</v>
      </c>
      <c r="M273" s="11" t="s">
        <v>1079</v>
      </c>
      <c r="N273" s="10" t="s">
        <v>1173</v>
      </c>
      <c r="O273" s="9" t="s">
        <v>1822</v>
      </c>
      <c r="P273" s="9">
        <v>18582729769</v>
      </c>
      <c r="Q273" s="10" t="s">
        <v>1082</v>
      </c>
      <c r="R273" s="10" t="s">
        <v>1173</v>
      </c>
      <c r="S273" s="57" t="s">
        <v>1826</v>
      </c>
      <c r="T273" s="57" t="s">
        <v>1185</v>
      </c>
      <c r="U273" s="64" t="s">
        <v>1827</v>
      </c>
      <c r="V273" s="9" t="s">
        <v>1809</v>
      </c>
      <c r="W273" s="64" t="s">
        <v>1055</v>
      </c>
      <c r="X273" s="97">
        <v>131.94</v>
      </c>
      <c r="Y273" s="99">
        <v>68.55</v>
      </c>
      <c r="Z273" s="99">
        <v>66.85</v>
      </c>
      <c r="AA273" s="61" t="s">
        <v>1420</v>
      </c>
      <c r="AB273" s="18"/>
      <c r="AC273" s="19"/>
      <c r="AD273" s="19"/>
      <c r="AE273" s="19"/>
    </row>
    <row r="274" spans="1:31">
      <c r="A274" s="9" t="s">
        <v>995</v>
      </c>
      <c r="B274" s="9" t="s">
        <v>996</v>
      </c>
      <c r="C274" s="9" t="s">
        <v>997</v>
      </c>
      <c r="D274" s="9" t="s">
        <v>1063</v>
      </c>
      <c r="E274" s="96"/>
      <c r="F274" s="9" t="s">
        <v>999</v>
      </c>
      <c r="G274" s="13" t="s">
        <v>1000</v>
      </c>
      <c r="H274" s="9" t="s">
        <v>1001</v>
      </c>
      <c r="I274" s="11" t="s">
        <v>1075</v>
      </c>
      <c r="J274" s="10" t="s">
        <v>1170</v>
      </c>
      <c r="K274" s="9" t="s">
        <v>1171</v>
      </c>
      <c r="L274" s="9">
        <v>13216333231</v>
      </c>
      <c r="M274" s="11" t="s">
        <v>1079</v>
      </c>
      <c r="N274" s="10" t="s">
        <v>1173</v>
      </c>
      <c r="O274" s="9" t="s">
        <v>1822</v>
      </c>
      <c r="P274" s="9">
        <v>18582729769</v>
      </c>
      <c r="Q274" s="10" t="s">
        <v>1082</v>
      </c>
      <c r="R274" s="10" t="s">
        <v>1173</v>
      </c>
      <c r="S274" s="57" t="s">
        <v>1828</v>
      </c>
      <c r="T274" s="57" t="s">
        <v>1187</v>
      </c>
      <c r="U274" s="64" t="s">
        <v>1829</v>
      </c>
      <c r="V274" s="9" t="s">
        <v>1761</v>
      </c>
      <c r="W274" s="64" t="s">
        <v>1188</v>
      </c>
      <c r="X274" s="97">
        <v>110.53</v>
      </c>
      <c r="Y274" s="99">
        <v>124.6</v>
      </c>
      <c r="Z274" s="99">
        <v>123.36</v>
      </c>
      <c r="AA274" s="61" t="s">
        <v>1420</v>
      </c>
      <c r="AB274" s="18"/>
      <c r="AC274" s="19"/>
      <c r="AD274" s="19"/>
      <c r="AE274" s="19"/>
    </row>
    <row r="275" spans="1:31">
      <c r="A275" s="9" t="s">
        <v>995</v>
      </c>
      <c r="B275" s="9" t="s">
        <v>996</v>
      </c>
      <c r="C275" s="9" t="s">
        <v>997</v>
      </c>
      <c r="D275" s="9" t="s">
        <v>1189</v>
      </c>
      <c r="E275" s="96"/>
      <c r="F275" s="9" t="s">
        <v>999</v>
      </c>
      <c r="G275" s="13" t="s">
        <v>1000</v>
      </c>
      <c r="H275" s="9" t="s">
        <v>1001</v>
      </c>
      <c r="I275" s="11" t="s">
        <v>1190</v>
      </c>
      <c r="J275" s="10" t="s">
        <v>1191</v>
      </c>
      <c r="K275" s="9" t="s">
        <v>1193</v>
      </c>
      <c r="L275" s="9">
        <v>15988991188</v>
      </c>
      <c r="M275" s="11" t="s">
        <v>1194</v>
      </c>
      <c r="N275" s="10" t="s">
        <v>1195</v>
      </c>
      <c r="O275" s="9" t="s">
        <v>1830</v>
      </c>
      <c r="P275" s="9">
        <v>15988991188</v>
      </c>
      <c r="Q275" s="10" t="s">
        <v>1196</v>
      </c>
      <c r="R275" s="10" t="s">
        <v>1195</v>
      </c>
      <c r="S275" s="57" t="s">
        <v>1197</v>
      </c>
      <c r="T275" s="57" t="s">
        <v>1198</v>
      </c>
      <c r="U275" s="64" t="s">
        <v>1831</v>
      </c>
      <c r="V275" s="9" t="s">
        <v>1761</v>
      </c>
      <c r="W275" s="64" t="s">
        <v>1199</v>
      </c>
      <c r="X275" s="97">
        <v>824</v>
      </c>
      <c r="Y275" s="65"/>
      <c r="Z275" s="65"/>
      <c r="AA275" s="61"/>
      <c r="AB275" s="18"/>
      <c r="AC275" s="19"/>
      <c r="AD275" s="19"/>
      <c r="AE275" s="19"/>
    </row>
    <row r="276" spans="1:31">
      <c r="A276" s="9" t="s">
        <v>995</v>
      </c>
      <c r="B276" s="9" t="s">
        <v>996</v>
      </c>
      <c r="C276" s="9" t="s">
        <v>997</v>
      </c>
      <c r="D276" s="9" t="s">
        <v>1189</v>
      </c>
      <c r="E276" s="96"/>
      <c r="F276" s="9" t="s">
        <v>999</v>
      </c>
      <c r="G276" s="13" t="s">
        <v>1000</v>
      </c>
      <c r="H276" s="9" t="s">
        <v>1001</v>
      </c>
      <c r="I276" s="11" t="s">
        <v>1190</v>
      </c>
      <c r="J276" s="10" t="s">
        <v>1191</v>
      </c>
      <c r="K276" s="9" t="s">
        <v>1193</v>
      </c>
      <c r="L276" s="9">
        <v>15988991188</v>
      </c>
      <c r="M276" s="11" t="s">
        <v>1194</v>
      </c>
      <c r="N276" s="10" t="s">
        <v>1195</v>
      </c>
      <c r="O276" s="9" t="s">
        <v>1830</v>
      </c>
      <c r="P276" s="9">
        <v>15988991188</v>
      </c>
      <c r="Q276" s="10" t="s">
        <v>1196</v>
      </c>
      <c r="R276" s="10" t="s">
        <v>1195</v>
      </c>
      <c r="S276" s="57" t="s">
        <v>1200</v>
      </c>
      <c r="T276" s="57" t="s">
        <v>1201</v>
      </c>
      <c r="U276" s="64" t="s">
        <v>1831</v>
      </c>
      <c r="V276" s="9" t="s">
        <v>1761</v>
      </c>
      <c r="W276" s="64" t="s">
        <v>1202</v>
      </c>
      <c r="X276" s="97">
        <v>2.86</v>
      </c>
      <c r="Y276" s="65"/>
      <c r="Z276" s="65"/>
      <c r="AA276" s="61"/>
      <c r="AB276" s="18"/>
      <c r="AC276" s="19"/>
      <c r="AD276" s="19"/>
      <c r="AE276" s="19"/>
    </row>
    <row r="277" spans="1:31">
      <c r="A277" s="9" t="s">
        <v>995</v>
      </c>
      <c r="B277" s="9" t="s">
        <v>996</v>
      </c>
      <c r="C277" s="9" t="s">
        <v>997</v>
      </c>
      <c r="D277" s="9" t="s">
        <v>1203</v>
      </c>
      <c r="E277" s="96"/>
      <c r="F277" s="9" t="s">
        <v>999</v>
      </c>
      <c r="G277" s="13" t="s">
        <v>1000</v>
      </c>
      <c r="H277" s="9" t="s">
        <v>1001</v>
      </c>
      <c r="I277" s="11" t="s">
        <v>1204</v>
      </c>
      <c r="J277" s="10" t="s">
        <v>1205</v>
      </c>
      <c r="K277" s="9" t="s">
        <v>1207</v>
      </c>
      <c r="L277" s="9">
        <v>13705869671</v>
      </c>
      <c r="M277" s="11" t="s">
        <v>1208</v>
      </c>
      <c r="N277" s="10" t="s">
        <v>1211</v>
      </c>
      <c r="O277" s="9" t="s">
        <v>1832</v>
      </c>
      <c r="P277" s="9">
        <v>13705869671</v>
      </c>
      <c r="Q277" s="10" t="s">
        <v>1210</v>
      </c>
      <c r="R277" s="10" t="s">
        <v>1211</v>
      </c>
      <c r="S277" s="57" t="s">
        <v>1212</v>
      </c>
      <c r="T277" s="57" t="s">
        <v>1213</v>
      </c>
      <c r="U277" s="64" t="s">
        <v>1833</v>
      </c>
      <c r="V277" s="9" t="s">
        <v>1834</v>
      </c>
      <c r="W277" s="64" t="s">
        <v>1214</v>
      </c>
      <c r="X277" s="109">
        <v>1472</v>
      </c>
      <c r="Y277" s="106">
        <v>1348.015</v>
      </c>
      <c r="Z277" s="106">
        <v>1195.86</v>
      </c>
      <c r="AA277" s="61"/>
      <c r="AB277" s="18"/>
      <c r="AC277" s="19"/>
      <c r="AD277" s="19"/>
      <c r="AE277" s="19"/>
    </row>
    <row r="278" spans="1:31">
      <c r="A278" s="9" t="s">
        <v>995</v>
      </c>
      <c r="B278" s="9" t="s">
        <v>996</v>
      </c>
      <c r="C278" s="9" t="s">
        <v>997</v>
      </c>
      <c r="D278" s="9" t="s">
        <v>1203</v>
      </c>
      <c r="E278" s="96"/>
      <c r="F278" s="9" t="s">
        <v>999</v>
      </c>
      <c r="G278" s="13" t="s">
        <v>1000</v>
      </c>
      <c r="H278" s="9" t="s">
        <v>1001</v>
      </c>
      <c r="I278" s="11" t="s">
        <v>1204</v>
      </c>
      <c r="J278" s="10" t="s">
        <v>1205</v>
      </c>
      <c r="K278" s="9" t="s">
        <v>1207</v>
      </c>
      <c r="L278" s="9">
        <v>13705869671</v>
      </c>
      <c r="M278" s="11" t="s">
        <v>1208</v>
      </c>
      <c r="N278" s="10" t="s">
        <v>1211</v>
      </c>
      <c r="O278" s="9" t="s">
        <v>1832</v>
      </c>
      <c r="P278" s="9">
        <v>13705869671</v>
      </c>
      <c r="Q278" s="10" t="s">
        <v>1210</v>
      </c>
      <c r="R278" s="10" t="s">
        <v>1211</v>
      </c>
      <c r="S278" s="57" t="s">
        <v>1835</v>
      </c>
      <c r="T278" s="57" t="s">
        <v>1836</v>
      </c>
      <c r="U278" s="64" t="s">
        <v>1833</v>
      </c>
      <c r="V278" s="9" t="s">
        <v>1834</v>
      </c>
      <c r="W278" s="64" t="s">
        <v>1214</v>
      </c>
      <c r="X278" s="110"/>
      <c r="Y278"/>
      <c r="Z278"/>
      <c r="AA278" s="61"/>
      <c r="AB278" s="18"/>
      <c r="AC278" s="19"/>
      <c r="AD278" s="19"/>
      <c r="AE278" s="19"/>
    </row>
    <row r="279" spans="1:31">
      <c r="A279" s="9" t="s">
        <v>995</v>
      </c>
      <c r="B279" s="9" t="s">
        <v>996</v>
      </c>
      <c r="C279" s="9" t="s">
        <v>997</v>
      </c>
      <c r="D279" s="9" t="s">
        <v>1203</v>
      </c>
      <c r="E279" s="96"/>
      <c r="F279" s="9" t="s">
        <v>999</v>
      </c>
      <c r="G279" s="13" t="s">
        <v>1000</v>
      </c>
      <c r="H279" s="9" t="s">
        <v>1001</v>
      </c>
      <c r="I279" s="11" t="s">
        <v>1204</v>
      </c>
      <c r="J279" s="10" t="s">
        <v>1205</v>
      </c>
      <c r="K279" s="9" t="s">
        <v>1207</v>
      </c>
      <c r="L279" s="9">
        <v>13705869671</v>
      </c>
      <c r="M279" s="11" t="s">
        <v>1208</v>
      </c>
      <c r="N279" s="10" t="s">
        <v>1211</v>
      </c>
      <c r="O279" s="9" t="s">
        <v>1832</v>
      </c>
      <c r="P279" s="9">
        <v>13705869671</v>
      </c>
      <c r="Q279" s="10" t="s">
        <v>1210</v>
      </c>
      <c r="R279" s="10" t="s">
        <v>1211</v>
      </c>
      <c r="S279" s="57" t="s">
        <v>1837</v>
      </c>
      <c r="T279" s="57" t="s">
        <v>1838</v>
      </c>
      <c r="U279" s="64" t="s">
        <v>1833</v>
      </c>
      <c r="V279" s="9" t="s">
        <v>1834</v>
      </c>
      <c r="W279" s="64" t="s">
        <v>1214</v>
      </c>
      <c r="X279" s="111"/>
      <c r="Y279"/>
      <c r="Z279"/>
      <c r="AA279" s="61"/>
      <c r="AB279" s="18"/>
      <c r="AC279" s="19"/>
      <c r="AD279" s="19"/>
      <c r="AE279" s="19"/>
    </row>
    <row r="280" spans="1:31">
      <c r="A280" s="9" t="s">
        <v>995</v>
      </c>
      <c r="B280" s="9" t="s">
        <v>996</v>
      </c>
      <c r="C280" s="9" t="s">
        <v>997</v>
      </c>
      <c r="D280" s="9" t="s">
        <v>1203</v>
      </c>
      <c r="E280" s="96"/>
      <c r="F280" s="9" t="s">
        <v>999</v>
      </c>
      <c r="G280" s="13" t="s">
        <v>1000</v>
      </c>
      <c r="H280" s="9" t="s">
        <v>1001</v>
      </c>
      <c r="I280" s="11" t="s">
        <v>1231</v>
      </c>
      <c r="J280" s="10" t="s">
        <v>1215</v>
      </c>
      <c r="K280" s="9" t="s">
        <v>1216</v>
      </c>
      <c r="L280" s="9">
        <v>18158658771</v>
      </c>
      <c r="M280" s="11" t="s">
        <v>1233</v>
      </c>
      <c r="N280" s="10" t="s">
        <v>1218</v>
      </c>
      <c r="O280" s="9" t="s">
        <v>1219</v>
      </c>
      <c r="P280" s="9">
        <v>13508317483</v>
      </c>
      <c r="Q280" s="10" t="s">
        <v>1236</v>
      </c>
      <c r="R280" s="10" t="s">
        <v>1218</v>
      </c>
      <c r="S280" s="57" t="s">
        <v>1238</v>
      </c>
      <c r="T280" s="57" t="s">
        <v>1223</v>
      </c>
      <c r="U280" s="64" t="s">
        <v>1839</v>
      </c>
      <c r="V280" s="9" t="s">
        <v>1761</v>
      </c>
      <c r="W280" s="64" t="s">
        <v>1224</v>
      </c>
      <c r="X280" s="97">
        <v>204.6</v>
      </c>
      <c r="Y280" s="99">
        <v>203.02</v>
      </c>
      <c r="Z280" s="99">
        <v>200.8</v>
      </c>
      <c r="AA280" s="61" t="s">
        <v>1420</v>
      </c>
      <c r="AB280" s="18"/>
      <c r="AC280" s="19"/>
      <c r="AD280" s="19"/>
      <c r="AE280" s="19"/>
    </row>
    <row r="281" spans="1:31">
      <c r="A281" s="9" t="s">
        <v>995</v>
      </c>
      <c r="B281" s="9" t="s">
        <v>996</v>
      </c>
      <c r="C281" s="9" t="s">
        <v>997</v>
      </c>
      <c r="D281" s="9" t="s">
        <v>1203</v>
      </c>
      <c r="E281" s="96"/>
      <c r="F281" s="9" t="s">
        <v>999</v>
      </c>
      <c r="G281" s="13" t="s">
        <v>1000</v>
      </c>
      <c r="H281" s="9" t="s">
        <v>1001</v>
      </c>
      <c r="I281" s="11" t="s">
        <v>1231</v>
      </c>
      <c r="J281" s="10" t="s">
        <v>1215</v>
      </c>
      <c r="K281" s="9" t="s">
        <v>1216</v>
      </c>
      <c r="L281" s="9">
        <v>18158658771</v>
      </c>
      <c r="M281" s="11" t="s">
        <v>1233</v>
      </c>
      <c r="N281" s="10" t="s">
        <v>1218</v>
      </c>
      <c r="O281" s="9" t="s">
        <v>1219</v>
      </c>
      <c r="P281" s="9">
        <v>13508317483</v>
      </c>
      <c r="Q281" s="10" t="s">
        <v>1236</v>
      </c>
      <c r="R281" s="10" t="s">
        <v>1218</v>
      </c>
      <c r="S281" s="57" t="s">
        <v>1840</v>
      </c>
      <c r="T281" s="57" t="s">
        <v>1228</v>
      </c>
      <c r="U281" s="64" t="s">
        <v>1839</v>
      </c>
      <c r="V281" s="9" t="s">
        <v>1761</v>
      </c>
      <c r="W281" s="64" t="s">
        <v>1229</v>
      </c>
      <c r="X281" s="97">
        <v>44.01</v>
      </c>
      <c r="Y281" s="99">
        <v>42.46</v>
      </c>
      <c r="Z281" s="99">
        <v>40.5</v>
      </c>
      <c r="AA281" s="61" t="s">
        <v>1420</v>
      </c>
      <c r="AB281" s="18"/>
      <c r="AC281" s="19"/>
      <c r="AD281" s="19"/>
      <c r="AE281" s="19"/>
    </row>
    <row r="282" spans="1:31">
      <c r="A282" s="9" t="s">
        <v>995</v>
      </c>
      <c r="B282" s="9" t="s">
        <v>996</v>
      </c>
      <c r="C282" s="9" t="s">
        <v>997</v>
      </c>
      <c r="D282" s="9" t="s">
        <v>1230</v>
      </c>
      <c r="E282" s="96"/>
      <c r="F282" s="9" t="s">
        <v>999</v>
      </c>
      <c r="G282" s="13" t="s">
        <v>1000</v>
      </c>
      <c r="H282" s="9" t="s">
        <v>1001</v>
      </c>
      <c r="I282" s="11" t="s">
        <v>1231</v>
      </c>
      <c r="J282" s="10" t="s">
        <v>1215</v>
      </c>
      <c r="K282" s="9" t="s">
        <v>1216</v>
      </c>
      <c r="L282" s="9">
        <v>18158658771</v>
      </c>
      <c r="M282" s="11" t="s">
        <v>1841</v>
      </c>
      <c r="N282" s="10" t="s">
        <v>1234</v>
      </c>
      <c r="O282" s="9" t="s">
        <v>1842</v>
      </c>
      <c r="P282" s="9">
        <v>18158658771</v>
      </c>
      <c r="Q282" s="10" t="s">
        <v>1843</v>
      </c>
      <c r="R282" s="10" t="s">
        <v>1234</v>
      </c>
      <c r="S282" s="57" t="s">
        <v>1844</v>
      </c>
      <c r="T282" s="57" t="s">
        <v>1239</v>
      </c>
      <c r="U282" s="64" t="s">
        <v>1845</v>
      </c>
      <c r="V282" s="9" t="s">
        <v>1761</v>
      </c>
      <c r="W282" s="64" t="s">
        <v>1241</v>
      </c>
      <c r="X282" s="102">
        <v>286.72</v>
      </c>
      <c r="Y282" s="106">
        <v>294.4</v>
      </c>
      <c r="Z282" s="106">
        <v>288.47</v>
      </c>
      <c r="AA282" s="61"/>
      <c r="AB282" s="18"/>
      <c r="AC282" s="19"/>
      <c r="AD282" s="19"/>
      <c r="AE282" s="19"/>
    </row>
    <row r="283" spans="1:31">
      <c r="A283" s="9" t="s">
        <v>995</v>
      </c>
      <c r="B283" s="9" t="s">
        <v>996</v>
      </c>
      <c r="C283" s="9" t="s">
        <v>997</v>
      </c>
      <c r="D283" s="9" t="s">
        <v>1230</v>
      </c>
      <c r="E283" s="96"/>
      <c r="F283" s="9" t="s">
        <v>999</v>
      </c>
      <c r="G283" s="13" t="s">
        <v>1000</v>
      </c>
      <c r="H283" s="9" t="s">
        <v>1001</v>
      </c>
      <c r="I283" s="11" t="s">
        <v>1231</v>
      </c>
      <c r="J283" s="10" t="s">
        <v>1215</v>
      </c>
      <c r="K283" s="9" t="s">
        <v>1216</v>
      </c>
      <c r="L283" s="9">
        <v>18158658771</v>
      </c>
      <c r="M283" s="11" t="s">
        <v>1841</v>
      </c>
      <c r="N283" s="10" t="s">
        <v>1234</v>
      </c>
      <c r="O283" s="9" t="s">
        <v>1842</v>
      </c>
      <c r="P283" s="9">
        <v>18158658771</v>
      </c>
      <c r="Q283" s="10" t="s">
        <v>1843</v>
      </c>
      <c r="R283" s="10" t="s">
        <v>1234</v>
      </c>
      <c r="S283" s="57" t="s">
        <v>1846</v>
      </c>
      <c r="T283" s="57" t="s">
        <v>1847</v>
      </c>
      <c r="U283" s="64" t="s">
        <v>1845</v>
      </c>
      <c r="V283" s="9" t="s">
        <v>1761</v>
      </c>
      <c r="W283" s="64" t="s">
        <v>1246</v>
      </c>
      <c r="X283" s="102">
        <v>10.23</v>
      </c>
      <c r="Y283" s="112"/>
      <c r="Z283" s="112"/>
      <c r="AA283" s="61"/>
      <c r="AB283" s="18"/>
      <c r="AC283" s="19"/>
      <c r="AD283" s="19"/>
      <c r="AE283" s="19"/>
    </row>
    <row r="284" spans="1:31">
      <c r="A284" s="9" t="s">
        <v>995</v>
      </c>
      <c r="B284" s="9" t="s">
        <v>996</v>
      </c>
      <c r="C284" s="9" t="s">
        <v>997</v>
      </c>
      <c r="D284" s="9" t="s">
        <v>1230</v>
      </c>
      <c r="E284" s="96"/>
      <c r="F284" s="9" t="s">
        <v>999</v>
      </c>
      <c r="G284" s="13" t="s">
        <v>1000</v>
      </c>
      <c r="H284" s="9" t="s">
        <v>1001</v>
      </c>
      <c r="I284" s="11" t="s">
        <v>1231</v>
      </c>
      <c r="J284" s="10" t="s">
        <v>1215</v>
      </c>
      <c r="K284" s="9" t="s">
        <v>1216</v>
      </c>
      <c r="L284" s="9">
        <v>18158658771</v>
      </c>
      <c r="M284" s="11" t="s">
        <v>1841</v>
      </c>
      <c r="N284" s="10" t="s">
        <v>1234</v>
      </c>
      <c r="O284" s="9" t="s">
        <v>1842</v>
      </c>
      <c r="P284" s="9">
        <v>18158658771</v>
      </c>
      <c r="Q284" s="10" t="s">
        <v>1843</v>
      </c>
      <c r="R284" s="10" t="s">
        <v>1234</v>
      </c>
      <c r="S284" s="57" t="s">
        <v>1848</v>
      </c>
      <c r="T284" s="57" t="s">
        <v>1849</v>
      </c>
      <c r="U284" s="64" t="s">
        <v>1850</v>
      </c>
      <c r="V284" s="9" t="s">
        <v>1761</v>
      </c>
      <c r="W284" s="64" t="s">
        <v>1247</v>
      </c>
      <c r="X284" s="102">
        <v>326.01</v>
      </c>
      <c r="Y284" s="112">
        <v>270.16</v>
      </c>
      <c r="Z284" s="112">
        <v>253.52</v>
      </c>
      <c r="AA284" s="61"/>
      <c r="AB284" s="18"/>
      <c r="AC284" s="19"/>
      <c r="AD284" s="19"/>
      <c r="AE284" s="19"/>
    </row>
    <row r="285" spans="1:31">
      <c r="A285" s="9" t="s">
        <v>995</v>
      </c>
      <c r="B285" s="9" t="s">
        <v>996</v>
      </c>
      <c r="C285" s="9" t="s">
        <v>997</v>
      </c>
      <c r="D285" s="9" t="s">
        <v>1248</v>
      </c>
      <c r="E285" s="96"/>
      <c r="F285" s="9" t="s">
        <v>999</v>
      </c>
      <c r="G285" s="13" t="s">
        <v>1000</v>
      </c>
      <c r="H285" s="9" t="s">
        <v>1001</v>
      </c>
      <c r="I285" s="11" t="s">
        <v>1231</v>
      </c>
      <c r="J285" s="10" t="s">
        <v>1215</v>
      </c>
      <c r="K285" s="9" t="s">
        <v>1216</v>
      </c>
      <c r="L285" s="9">
        <v>18158658771</v>
      </c>
      <c r="M285" s="11" t="s">
        <v>1851</v>
      </c>
      <c r="N285" s="10" t="s">
        <v>1252</v>
      </c>
      <c r="O285" s="9" t="s">
        <v>1253</v>
      </c>
      <c r="P285" s="9">
        <v>13207467929</v>
      </c>
      <c r="Q285" s="10" t="s">
        <v>1852</v>
      </c>
      <c r="R285" s="10" t="s">
        <v>1252</v>
      </c>
      <c r="S285" s="57" t="s">
        <v>1853</v>
      </c>
      <c r="T285" s="57" t="s">
        <v>1257</v>
      </c>
      <c r="U285" s="64" t="s">
        <v>1854</v>
      </c>
      <c r="V285" s="9" t="s">
        <v>1765</v>
      </c>
      <c r="W285" s="64" t="s">
        <v>1258</v>
      </c>
      <c r="X285" s="102">
        <v>203.79</v>
      </c>
      <c r="Y285" s="106">
        <v>521.1</v>
      </c>
      <c r="Z285" s="106">
        <v>499.25</v>
      </c>
      <c r="AA285" s="61"/>
      <c r="AB285" s="18"/>
      <c r="AC285" s="19"/>
      <c r="AD285" s="19"/>
      <c r="AE285" s="19"/>
    </row>
    <row r="286" spans="1:31">
      <c r="A286" s="9" t="s">
        <v>995</v>
      </c>
      <c r="B286" s="9" t="s">
        <v>996</v>
      </c>
      <c r="C286" s="9" t="s">
        <v>997</v>
      </c>
      <c r="D286" s="9" t="s">
        <v>1248</v>
      </c>
      <c r="E286" s="96"/>
      <c r="F286" s="9" t="s">
        <v>999</v>
      </c>
      <c r="G286" s="13" t="s">
        <v>1000</v>
      </c>
      <c r="H286" s="9" t="s">
        <v>1001</v>
      </c>
      <c r="I286" s="11" t="s">
        <v>1231</v>
      </c>
      <c r="J286" s="10" t="s">
        <v>1215</v>
      </c>
      <c r="K286" s="9" t="s">
        <v>1216</v>
      </c>
      <c r="L286" s="9">
        <v>18158658771</v>
      </c>
      <c r="M286" s="11" t="s">
        <v>1851</v>
      </c>
      <c r="N286" s="10" t="s">
        <v>1252</v>
      </c>
      <c r="O286" s="9" t="s">
        <v>1253</v>
      </c>
      <c r="P286" s="9">
        <v>13207467929</v>
      </c>
      <c r="Q286" s="10" t="s">
        <v>1852</v>
      </c>
      <c r="R286" s="10" t="s">
        <v>1252</v>
      </c>
      <c r="S286" s="57" t="s">
        <v>1855</v>
      </c>
      <c r="T286" s="57" t="s">
        <v>1856</v>
      </c>
      <c r="U286" s="64" t="s">
        <v>1854</v>
      </c>
      <c r="V286" s="9" t="s">
        <v>1765</v>
      </c>
      <c r="W286" s="64" t="s">
        <v>1857</v>
      </c>
      <c r="X286" s="102">
        <v>6.29</v>
      </c>
      <c r="Y286"/>
      <c r="Z286"/>
      <c r="AA286" s="61"/>
      <c r="AB286" s="18"/>
      <c r="AC286" s="19"/>
      <c r="AD286" s="19"/>
      <c r="AE286" s="19"/>
    </row>
    <row r="287" spans="1:31">
      <c r="A287" s="9" t="s">
        <v>995</v>
      </c>
      <c r="B287" s="9" t="s">
        <v>996</v>
      </c>
      <c r="C287" s="9" t="s">
        <v>997</v>
      </c>
      <c r="D287" s="9" t="s">
        <v>1248</v>
      </c>
      <c r="E287" s="96"/>
      <c r="F287" s="9" t="s">
        <v>999</v>
      </c>
      <c r="G287" s="13" t="s">
        <v>1000</v>
      </c>
      <c r="H287" s="9" t="s">
        <v>1001</v>
      </c>
      <c r="I287" s="11" t="s">
        <v>1231</v>
      </c>
      <c r="J287" s="10" t="s">
        <v>1215</v>
      </c>
      <c r="K287" s="9" t="s">
        <v>1216</v>
      </c>
      <c r="L287" s="9">
        <v>18158658771</v>
      </c>
      <c r="M287" s="11" t="s">
        <v>1851</v>
      </c>
      <c r="N287" s="10" t="s">
        <v>1252</v>
      </c>
      <c r="O287" s="9" t="s">
        <v>1253</v>
      </c>
      <c r="P287" s="9">
        <v>13207467929</v>
      </c>
      <c r="Q287" s="10" t="s">
        <v>1852</v>
      </c>
      <c r="R287" s="10" t="s">
        <v>1252</v>
      </c>
      <c r="S287" s="57" t="s">
        <v>1858</v>
      </c>
      <c r="T287" s="57" t="s">
        <v>1859</v>
      </c>
      <c r="U287" s="64" t="s">
        <v>1854</v>
      </c>
      <c r="V287" s="9" t="s">
        <v>1765</v>
      </c>
      <c r="W287" s="64" t="s">
        <v>1860</v>
      </c>
      <c r="X287" s="102">
        <v>266</v>
      </c>
      <c r="Y287"/>
      <c r="Z287"/>
      <c r="AA287" s="61"/>
      <c r="AB287" s="18"/>
      <c r="AC287" s="19"/>
      <c r="AD287" s="19"/>
      <c r="AE287" s="19"/>
    </row>
    <row r="288" spans="1:31">
      <c r="A288" s="9" t="s">
        <v>995</v>
      </c>
      <c r="B288" s="9" t="s">
        <v>996</v>
      </c>
      <c r="C288" s="9" t="s">
        <v>997</v>
      </c>
      <c r="D288" s="9" t="s">
        <v>1248</v>
      </c>
      <c r="E288" s="96"/>
      <c r="F288" s="9" t="s">
        <v>999</v>
      </c>
      <c r="G288" s="13" t="s">
        <v>1000</v>
      </c>
      <c r="H288" s="9" t="s">
        <v>1001</v>
      </c>
      <c r="I288" s="11" t="s">
        <v>1231</v>
      </c>
      <c r="J288" s="10" t="s">
        <v>1215</v>
      </c>
      <c r="K288" s="9" t="s">
        <v>1216</v>
      </c>
      <c r="L288" s="9">
        <v>18158658771</v>
      </c>
      <c r="M288" s="11" t="s">
        <v>1851</v>
      </c>
      <c r="N288" s="10" t="s">
        <v>1252</v>
      </c>
      <c r="O288" s="9" t="s">
        <v>1253</v>
      </c>
      <c r="P288" s="9">
        <v>13207467929</v>
      </c>
      <c r="Q288" s="10" t="s">
        <v>1852</v>
      </c>
      <c r="R288" s="10" t="s">
        <v>1252</v>
      </c>
      <c r="S288" s="57" t="s">
        <v>1861</v>
      </c>
      <c r="T288" s="57" t="s">
        <v>1862</v>
      </c>
      <c r="U288" s="64" t="s">
        <v>1854</v>
      </c>
      <c r="V288" s="9" t="s">
        <v>1765</v>
      </c>
      <c r="W288" s="64" t="s">
        <v>1863</v>
      </c>
      <c r="X288" s="102">
        <v>49.88</v>
      </c>
      <c r="Y288"/>
      <c r="Z288"/>
      <c r="AA288" s="61"/>
      <c r="AB288" s="18"/>
      <c r="AC288" s="19"/>
      <c r="AD288" s="19"/>
      <c r="AE288" s="19"/>
    </row>
    <row r="289" spans="1:34">
      <c r="A289" s="9" t="s">
        <v>995</v>
      </c>
      <c r="B289" s="9" t="s">
        <v>996</v>
      </c>
      <c r="C289" s="9" t="s">
        <v>997</v>
      </c>
      <c r="D289" s="9" t="s">
        <v>1248</v>
      </c>
      <c r="E289" s="96"/>
      <c r="F289" s="9" t="s">
        <v>999</v>
      </c>
      <c r="G289" s="13" t="s">
        <v>1000</v>
      </c>
      <c r="H289" s="9" t="s">
        <v>1001</v>
      </c>
      <c r="I289" s="11" t="s">
        <v>1003</v>
      </c>
      <c r="J289" s="10" t="s">
        <v>1004</v>
      </c>
      <c r="K289" s="9" t="s">
        <v>1259</v>
      </c>
      <c r="L289" s="9">
        <v>18982618354</v>
      </c>
      <c r="M289" s="11" t="s">
        <v>1864</v>
      </c>
      <c r="N289" s="10" t="s">
        <v>1261</v>
      </c>
      <c r="O289" s="9" t="s">
        <v>1259</v>
      </c>
      <c r="P289" s="9">
        <v>18982618354</v>
      </c>
      <c r="Q289" s="10" t="s">
        <v>1865</v>
      </c>
      <c r="R289" s="10" t="s">
        <v>1261</v>
      </c>
      <c r="S289" s="57" t="s">
        <v>1866</v>
      </c>
      <c r="T289" s="57" t="s">
        <v>1264</v>
      </c>
      <c r="U289" s="64" t="s">
        <v>1867</v>
      </c>
      <c r="V289" s="9" t="s">
        <v>1761</v>
      </c>
      <c r="W289" s="64" t="s">
        <v>1265</v>
      </c>
      <c r="X289" s="97">
        <v>214.93</v>
      </c>
      <c r="Y289" s="99">
        <v>174.39</v>
      </c>
      <c r="Z289" s="99">
        <v>172.34</v>
      </c>
      <c r="AA289" s="61"/>
      <c r="AB289" s="18"/>
      <c r="AC289" s="19"/>
      <c r="AD289" s="19"/>
      <c r="AE289" s="19"/>
    </row>
    <row r="290" spans="1:34">
      <c r="A290" s="9" t="s">
        <v>995</v>
      </c>
      <c r="B290" s="9" t="s">
        <v>996</v>
      </c>
      <c r="C290" s="9" t="s">
        <v>997</v>
      </c>
      <c r="D290" s="9" t="s">
        <v>1266</v>
      </c>
      <c r="E290" s="96"/>
      <c r="F290" s="9" t="s">
        <v>999</v>
      </c>
      <c r="G290" s="13" t="s">
        <v>1000</v>
      </c>
      <c r="H290" s="9" t="s">
        <v>1001</v>
      </c>
      <c r="I290" s="11" t="s">
        <v>1249</v>
      </c>
      <c r="J290" s="10" t="s">
        <v>1268</v>
      </c>
      <c r="K290" s="9" t="s">
        <v>1216</v>
      </c>
      <c r="L290" s="9">
        <v>18158658771</v>
      </c>
      <c r="M290" s="11" t="s">
        <v>1251</v>
      </c>
      <c r="N290" s="10" t="s">
        <v>1271</v>
      </c>
      <c r="O290" s="9" t="s">
        <v>1272</v>
      </c>
      <c r="P290" s="9">
        <v>18244708140</v>
      </c>
      <c r="Q290" s="10" t="s">
        <v>1254</v>
      </c>
      <c r="R290" s="10" t="s">
        <v>1271</v>
      </c>
      <c r="S290" s="57" t="s">
        <v>1256</v>
      </c>
      <c r="T290" s="57" t="s">
        <v>1275</v>
      </c>
      <c r="U290" s="64" t="s">
        <v>1868</v>
      </c>
      <c r="V290" s="9" t="s">
        <v>1761</v>
      </c>
      <c r="W290" s="64" t="s">
        <v>1276</v>
      </c>
      <c r="X290" s="97">
        <v>681</v>
      </c>
      <c r="Y290" s="99">
        <v>628.66</v>
      </c>
      <c r="Z290" s="99">
        <v>536.59</v>
      </c>
      <c r="AA290" s="61"/>
      <c r="AB290" s="18"/>
      <c r="AC290" s="19"/>
      <c r="AD290" s="19"/>
      <c r="AE290" s="19"/>
    </row>
    <row r="291" spans="1:34">
      <c r="A291" s="9" t="s">
        <v>995</v>
      </c>
      <c r="B291" s="9" t="s">
        <v>996</v>
      </c>
      <c r="C291" s="9" t="s">
        <v>997</v>
      </c>
      <c r="D291" s="9" t="s">
        <v>1266</v>
      </c>
      <c r="E291" s="96"/>
      <c r="F291" s="9" t="s">
        <v>999</v>
      </c>
      <c r="G291" s="13" t="s">
        <v>1000</v>
      </c>
      <c r="H291" s="9" t="s">
        <v>1001</v>
      </c>
      <c r="I291" s="11" t="s">
        <v>1249</v>
      </c>
      <c r="J291" s="10" t="s">
        <v>1268</v>
      </c>
      <c r="K291" s="9" t="s">
        <v>1216</v>
      </c>
      <c r="L291" s="9">
        <v>18158658771</v>
      </c>
      <c r="M291" s="11" t="s">
        <v>1260</v>
      </c>
      <c r="N291" s="10" t="s">
        <v>1278</v>
      </c>
      <c r="O291" s="9" t="s">
        <v>1279</v>
      </c>
      <c r="P291" s="9">
        <v>18728618942</v>
      </c>
      <c r="Q291" s="10" t="s">
        <v>1262</v>
      </c>
      <c r="R291" s="10" t="s">
        <v>1278</v>
      </c>
      <c r="S291" s="57" t="s">
        <v>1263</v>
      </c>
      <c r="T291" s="57" t="s">
        <v>1282</v>
      </c>
      <c r="U291" s="64" t="s">
        <v>1868</v>
      </c>
      <c r="V291" s="9" t="s">
        <v>1761</v>
      </c>
      <c r="W291" s="64" t="s">
        <v>1276</v>
      </c>
      <c r="X291" s="97">
        <v>681</v>
      </c>
      <c r="Y291" s="99">
        <v>645.28</v>
      </c>
      <c r="Z291" s="99">
        <v>553.08</v>
      </c>
      <c r="AA291" s="61"/>
      <c r="AB291" s="18"/>
      <c r="AC291" s="19"/>
      <c r="AD291" s="19"/>
      <c r="AE291" s="19"/>
    </row>
    <row r="292" spans="1:34">
      <c r="A292" s="9" t="s">
        <v>995</v>
      </c>
      <c r="B292" s="9" t="s">
        <v>996</v>
      </c>
      <c r="C292" s="9" t="s">
        <v>997</v>
      </c>
      <c r="D292" s="9" t="s">
        <v>1266</v>
      </c>
      <c r="E292" s="96"/>
      <c r="F292" s="9" t="s">
        <v>999</v>
      </c>
      <c r="G292" s="13" t="s">
        <v>1000</v>
      </c>
      <c r="H292" s="9" t="s">
        <v>1001</v>
      </c>
      <c r="I292" s="11" t="s">
        <v>1249</v>
      </c>
      <c r="J292" s="10" t="s">
        <v>1268</v>
      </c>
      <c r="K292" s="9" t="s">
        <v>1216</v>
      </c>
      <c r="L292" s="9">
        <v>18158658771</v>
      </c>
      <c r="M292" s="11" t="s">
        <v>1869</v>
      </c>
      <c r="N292" s="10" t="s">
        <v>1284</v>
      </c>
      <c r="O292" s="9" t="s">
        <v>1285</v>
      </c>
      <c r="P292" s="9">
        <v>13807468443</v>
      </c>
      <c r="Q292" s="10" t="s">
        <v>1870</v>
      </c>
      <c r="R292" s="10" t="s">
        <v>1284</v>
      </c>
      <c r="S292" s="57" t="s">
        <v>1871</v>
      </c>
      <c r="T292" s="57" t="s">
        <v>1288</v>
      </c>
      <c r="U292" s="64" t="s">
        <v>1868</v>
      </c>
      <c r="V292" s="9" t="s">
        <v>1761</v>
      </c>
      <c r="W292" s="64" t="s">
        <v>1276</v>
      </c>
      <c r="X292" s="97">
        <v>500.27</v>
      </c>
      <c r="Y292" s="99">
        <v>433.31</v>
      </c>
      <c r="Z292" s="99">
        <v>410.51</v>
      </c>
      <c r="AA292" s="61"/>
      <c r="AB292" s="18"/>
      <c r="AC292" s="19"/>
      <c r="AD292" s="19"/>
      <c r="AE292" s="19"/>
    </row>
    <row r="293" spans="1:34">
      <c r="A293" s="9" t="s">
        <v>995</v>
      </c>
      <c r="B293" s="9" t="s">
        <v>996</v>
      </c>
      <c r="C293" s="9" t="s">
        <v>997</v>
      </c>
      <c r="D293" s="9" t="s">
        <v>1266</v>
      </c>
      <c r="E293" s="96"/>
      <c r="F293" s="9" t="s">
        <v>999</v>
      </c>
      <c r="G293" s="13" t="s">
        <v>1000</v>
      </c>
      <c r="H293" s="9" t="s">
        <v>1001</v>
      </c>
      <c r="I293" s="11" t="s">
        <v>1249</v>
      </c>
      <c r="J293" s="10" t="s">
        <v>1268</v>
      </c>
      <c r="K293" s="9" t="s">
        <v>1216</v>
      </c>
      <c r="L293" s="9">
        <v>18158658771</v>
      </c>
      <c r="M293" s="11" t="s">
        <v>1872</v>
      </c>
      <c r="N293" s="10" t="s">
        <v>1290</v>
      </c>
      <c r="O293" s="9" t="s">
        <v>1291</v>
      </c>
      <c r="P293" s="9">
        <v>18482622844</v>
      </c>
      <c r="Q293" s="10" t="s">
        <v>1873</v>
      </c>
      <c r="R293" s="10" t="s">
        <v>1290</v>
      </c>
      <c r="S293" s="57" t="s">
        <v>1874</v>
      </c>
      <c r="T293" s="57" t="s">
        <v>1294</v>
      </c>
      <c r="U293" s="64" t="s">
        <v>1875</v>
      </c>
      <c r="V293" s="9" t="s">
        <v>1761</v>
      </c>
      <c r="W293" s="64" t="s">
        <v>1295</v>
      </c>
      <c r="X293" s="97">
        <v>409.47</v>
      </c>
      <c r="Y293" s="99">
        <v>400.92</v>
      </c>
      <c r="Z293" s="99">
        <v>318.48</v>
      </c>
      <c r="AA293" s="61" t="s">
        <v>1420</v>
      </c>
      <c r="AB293" s="18"/>
      <c r="AC293" s="19"/>
      <c r="AD293" s="19"/>
      <c r="AE293" s="19"/>
    </row>
    <row r="294" spans="1:34">
      <c r="A294" s="9" t="s">
        <v>995</v>
      </c>
      <c r="B294" s="9" t="s">
        <v>996</v>
      </c>
      <c r="C294" s="9" t="s">
        <v>997</v>
      </c>
      <c r="D294" s="9" t="s">
        <v>1266</v>
      </c>
      <c r="E294" s="96"/>
      <c r="F294" s="9" t="s">
        <v>999</v>
      </c>
      <c r="G294" s="13" t="s">
        <v>1000</v>
      </c>
      <c r="H294" s="9" t="s">
        <v>1001</v>
      </c>
      <c r="I294" s="11" t="s">
        <v>1025</v>
      </c>
      <c r="J294" s="10" t="s">
        <v>1296</v>
      </c>
      <c r="K294" s="9" t="s">
        <v>1297</v>
      </c>
      <c r="L294" s="9">
        <v>18580586609</v>
      </c>
      <c r="M294" s="11" t="s">
        <v>1876</v>
      </c>
      <c r="N294" s="10" t="s">
        <v>1299</v>
      </c>
      <c r="O294" s="9" t="s">
        <v>1877</v>
      </c>
      <c r="P294" s="9">
        <v>18921185806</v>
      </c>
      <c r="Q294" s="10" t="s">
        <v>1878</v>
      </c>
      <c r="R294" s="10" t="s">
        <v>1299</v>
      </c>
      <c r="S294" s="57" t="s">
        <v>1879</v>
      </c>
      <c r="T294" s="57" t="s">
        <v>1303</v>
      </c>
      <c r="U294" s="64" t="s">
        <v>1880</v>
      </c>
      <c r="V294" s="9" t="s">
        <v>1765</v>
      </c>
      <c r="W294" s="64" t="s">
        <v>1304</v>
      </c>
      <c r="X294" s="97">
        <v>359.46</v>
      </c>
      <c r="Y294" s="99">
        <v>331.6</v>
      </c>
      <c r="Z294" s="99">
        <v>308.21</v>
      </c>
      <c r="AA294" s="61" t="s">
        <v>1420</v>
      </c>
      <c r="AB294" s="18"/>
      <c r="AC294" s="19"/>
      <c r="AD294" s="19"/>
      <c r="AE294" s="19"/>
    </row>
    <row r="295" spans="1:34">
      <c r="A295" s="9" t="s">
        <v>995</v>
      </c>
      <c r="B295" s="9" t="s">
        <v>996</v>
      </c>
      <c r="C295" s="9" t="s">
        <v>997</v>
      </c>
      <c r="D295" s="9" t="s">
        <v>1266</v>
      </c>
      <c r="E295" s="96"/>
      <c r="F295" s="9" t="s">
        <v>999</v>
      </c>
      <c r="G295" s="13" t="s">
        <v>1000</v>
      </c>
      <c r="H295" s="9" t="s">
        <v>1001</v>
      </c>
      <c r="I295" s="11" t="s">
        <v>1025</v>
      </c>
      <c r="J295" s="10" t="s">
        <v>1296</v>
      </c>
      <c r="K295" s="9" t="s">
        <v>1297</v>
      </c>
      <c r="L295" s="9">
        <v>18580586609</v>
      </c>
      <c r="M295" s="11" t="s">
        <v>1876</v>
      </c>
      <c r="N295" s="10" t="s">
        <v>1299</v>
      </c>
      <c r="O295" s="9" t="s">
        <v>1877</v>
      </c>
      <c r="P295" s="9">
        <v>18921185806</v>
      </c>
      <c r="Q295" s="10" t="s">
        <v>1881</v>
      </c>
      <c r="R295" s="10" t="s">
        <v>1306</v>
      </c>
      <c r="S295" s="57" t="s">
        <v>1882</v>
      </c>
      <c r="T295" s="57" t="s">
        <v>1308</v>
      </c>
      <c r="U295" s="64" t="s">
        <v>1883</v>
      </c>
      <c r="V295" s="9" t="s">
        <v>1761</v>
      </c>
      <c r="W295" s="64" t="s">
        <v>1309</v>
      </c>
      <c r="X295" s="97">
        <v>127.87</v>
      </c>
      <c r="Y295" s="60">
        <v>125.4</v>
      </c>
      <c r="Z295" s="60">
        <v>116.33</v>
      </c>
      <c r="AA295" s="61" t="s">
        <v>1420</v>
      </c>
      <c r="AB295" s="18"/>
      <c r="AC295" s="19"/>
      <c r="AD295" s="19"/>
      <c r="AE295" s="19"/>
    </row>
    <row r="296" spans="1:34">
      <c r="A296" s="9" t="s">
        <v>995</v>
      </c>
      <c r="B296" s="9" t="s">
        <v>996</v>
      </c>
      <c r="C296" s="9" t="s">
        <v>997</v>
      </c>
      <c r="D296" s="9" t="s">
        <v>1266</v>
      </c>
      <c r="E296" s="96"/>
      <c r="F296" s="9" t="s">
        <v>999</v>
      </c>
      <c r="G296" s="13" t="s">
        <v>1000</v>
      </c>
      <c r="H296" s="9" t="s">
        <v>1001</v>
      </c>
      <c r="I296" s="11" t="s">
        <v>1025</v>
      </c>
      <c r="J296" s="10" t="s">
        <v>1296</v>
      </c>
      <c r="K296" s="9" t="s">
        <v>1297</v>
      </c>
      <c r="L296" s="9">
        <v>13150063506</v>
      </c>
      <c r="M296" s="11" t="s">
        <v>1884</v>
      </c>
      <c r="N296" s="10" t="s">
        <v>1311</v>
      </c>
      <c r="O296" s="9" t="s">
        <v>1300</v>
      </c>
      <c r="P296" s="9">
        <v>18921185806</v>
      </c>
      <c r="Q296" s="10" t="s">
        <v>1885</v>
      </c>
      <c r="R296" s="10" t="s">
        <v>1299</v>
      </c>
      <c r="S296" s="57" t="s">
        <v>1886</v>
      </c>
      <c r="T296" s="57" t="s">
        <v>1314</v>
      </c>
      <c r="U296" s="64" t="s">
        <v>1887</v>
      </c>
      <c r="V296" s="9" t="s">
        <v>1888</v>
      </c>
      <c r="W296" s="64" t="s">
        <v>1315</v>
      </c>
      <c r="X296" s="102">
        <v>130.78</v>
      </c>
      <c r="Y296" s="113">
        <v>238.17</v>
      </c>
      <c r="Z296" s="113">
        <v>224.41</v>
      </c>
      <c r="AA296" s="61"/>
      <c r="AB296" s="18"/>
      <c r="AC296" s="19"/>
      <c r="AD296" s="19"/>
      <c r="AE296" s="19"/>
    </row>
    <row r="297" spans="1:34">
      <c r="A297" s="9" t="s">
        <v>995</v>
      </c>
      <c r="B297" s="9" t="s">
        <v>996</v>
      </c>
      <c r="C297" s="9" t="s">
        <v>997</v>
      </c>
      <c r="D297" s="9" t="s">
        <v>1889</v>
      </c>
      <c r="E297" s="96"/>
      <c r="F297" s="9" t="s">
        <v>999</v>
      </c>
      <c r="G297" s="13" t="s">
        <v>1000</v>
      </c>
      <c r="H297" s="9" t="s">
        <v>1001</v>
      </c>
      <c r="I297" s="11" t="s">
        <v>1025</v>
      </c>
      <c r="J297" s="10" t="s">
        <v>1296</v>
      </c>
      <c r="K297" s="9" t="s">
        <v>1297</v>
      </c>
      <c r="L297" s="9">
        <v>13150063506</v>
      </c>
      <c r="M297" s="11" t="s">
        <v>1884</v>
      </c>
      <c r="N297" s="10" t="s">
        <v>1311</v>
      </c>
      <c r="O297" s="9" t="s">
        <v>1300</v>
      </c>
      <c r="P297" s="9">
        <v>18921185806</v>
      </c>
      <c r="Q297" s="10" t="s">
        <v>1890</v>
      </c>
      <c r="R297" s="10" t="s">
        <v>1891</v>
      </c>
      <c r="S297" s="57" t="s">
        <v>1892</v>
      </c>
      <c r="T297" s="57" t="s">
        <v>1893</v>
      </c>
      <c r="U297" s="64" t="s">
        <v>1894</v>
      </c>
      <c r="V297" s="9" t="s">
        <v>1888</v>
      </c>
      <c r="W297" s="64" t="s">
        <v>1895</v>
      </c>
      <c r="X297" s="102">
        <v>110.44</v>
      </c>
      <c r="Y297" s="75"/>
      <c r="Z297" s="75"/>
      <c r="AA297" s="61"/>
      <c r="AB297" s="18"/>
      <c r="AC297" s="19"/>
      <c r="AD297" s="19"/>
      <c r="AE297" s="19"/>
    </row>
    <row r="298" spans="1:34">
      <c r="A298" s="9" t="s">
        <v>995</v>
      </c>
      <c r="B298" s="9" t="s">
        <v>996</v>
      </c>
      <c r="C298" s="9" t="s">
        <v>997</v>
      </c>
      <c r="D298" s="9" t="s">
        <v>1266</v>
      </c>
      <c r="E298" s="96"/>
      <c r="F298" s="9" t="s">
        <v>999</v>
      </c>
      <c r="G298" s="13" t="s">
        <v>1000</v>
      </c>
      <c r="H298" s="9" t="s">
        <v>1001</v>
      </c>
      <c r="I298" s="11" t="s">
        <v>1025</v>
      </c>
      <c r="J298" s="10" t="s">
        <v>1296</v>
      </c>
      <c r="K298" s="9" t="s">
        <v>1297</v>
      </c>
      <c r="L298" s="9">
        <v>13150063506</v>
      </c>
      <c r="M298" s="11" t="s">
        <v>1884</v>
      </c>
      <c r="N298" s="10" t="s">
        <v>1311</v>
      </c>
      <c r="O298" s="9" t="s">
        <v>1300</v>
      </c>
      <c r="P298" s="9">
        <v>18921185806</v>
      </c>
      <c r="Q298" s="10" t="s">
        <v>1885</v>
      </c>
      <c r="R298" s="10" t="s">
        <v>1299</v>
      </c>
      <c r="S298" s="57" t="s">
        <v>1896</v>
      </c>
      <c r="T298" s="57" t="s">
        <v>1897</v>
      </c>
      <c r="U298" s="64" t="s">
        <v>1880</v>
      </c>
      <c r="V298" s="9" t="s">
        <v>1761</v>
      </c>
      <c r="W298" s="64" t="s">
        <v>1898</v>
      </c>
      <c r="X298" s="102">
        <v>125.84</v>
      </c>
      <c r="Y298" s="106">
        <v>157.13</v>
      </c>
      <c r="Z298" s="106">
        <v>154.8</v>
      </c>
      <c r="AA298" s="61"/>
      <c r="AB298" s="18"/>
      <c r="AC298" s="19"/>
      <c r="AD298" s="19"/>
      <c r="AE298" s="19"/>
    </row>
    <row r="299" spans="1:34">
      <c r="A299" s="9" t="s">
        <v>995</v>
      </c>
      <c r="B299" s="9" t="s">
        <v>996</v>
      </c>
      <c r="C299" s="9" t="s">
        <v>997</v>
      </c>
      <c r="D299" s="9" t="s">
        <v>1266</v>
      </c>
      <c r="E299" s="96"/>
      <c r="F299" s="9" t="s">
        <v>999</v>
      </c>
      <c r="G299" s="13" t="s">
        <v>1000</v>
      </c>
      <c r="H299" s="9" t="s">
        <v>1001</v>
      </c>
      <c r="I299" s="11" t="s">
        <v>1025</v>
      </c>
      <c r="J299" s="10" t="s">
        <v>1296</v>
      </c>
      <c r="K299" s="9" t="s">
        <v>1297</v>
      </c>
      <c r="L299" s="9">
        <v>13150063506</v>
      </c>
      <c r="M299" s="11" t="s">
        <v>1884</v>
      </c>
      <c r="N299" s="10" t="s">
        <v>1311</v>
      </c>
      <c r="O299" s="9" t="s">
        <v>1300</v>
      </c>
      <c r="P299" s="9">
        <v>18921185806</v>
      </c>
      <c r="Q299" s="10" t="s">
        <v>1885</v>
      </c>
      <c r="R299" s="10" t="s">
        <v>1299</v>
      </c>
      <c r="S299" s="57" t="s">
        <v>1899</v>
      </c>
      <c r="T299" s="57" t="s">
        <v>1900</v>
      </c>
      <c r="U299" s="64" t="s">
        <v>1880</v>
      </c>
      <c r="V299" s="9" t="s">
        <v>1888</v>
      </c>
      <c r="W299" s="64" t="s">
        <v>1901</v>
      </c>
      <c r="X299" s="102">
        <v>2.18</v>
      </c>
      <c r="Y299"/>
      <c r="Z299"/>
      <c r="AA299" s="61"/>
      <c r="AB299" s="18"/>
      <c r="AC299" s="19"/>
      <c r="AD299" s="19"/>
      <c r="AE299" s="19"/>
    </row>
    <row r="300" spans="1:34">
      <c r="A300" s="9" t="s">
        <v>995</v>
      </c>
      <c r="B300" s="9" t="s">
        <v>996</v>
      </c>
      <c r="C300" s="9" t="s">
        <v>997</v>
      </c>
      <c r="D300" s="9" t="s">
        <v>1266</v>
      </c>
      <c r="E300" s="96"/>
      <c r="F300" s="9" t="s">
        <v>999</v>
      </c>
      <c r="G300" s="13" t="s">
        <v>1000</v>
      </c>
      <c r="H300" s="9" t="s">
        <v>1001</v>
      </c>
      <c r="I300" s="11" t="s">
        <v>1025</v>
      </c>
      <c r="J300" s="10" t="s">
        <v>1296</v>
      </c>
      <c r="K300" s="9" t="s">
        <v>1297</v>
      </c>
      <c r="L300" s="9">
        <v>13150063506</v>
      </c>
      <c r="M300" s="11" t="s">
        <v>1884</v>
      </c>
      <c r="N300" s="10" t="s">
        <v>1311</v>
      </c>
      <c r="O300" s="9" t="s">
        <v>1300</v>
      </c>
      <c r="P300" s="9">
        <v>18921185806</v>
      </c>
      <c r="Q300" s="10" t="s">
        <v>1885</v>
      </c>
      <c r="R300" s="10" t="s">
        <v>1299</v>
      </c>
      <c r="S300" s="57" t="s">
        <v>1902</v>
      </c>
      <c r="T300" s="57" t="s">
        <v>1903</v>
      </c>
      <c r="U300" s="64" t="s">
        <v>1880</v>
      </c>
      <c r="V300" s="9" t="s">
        <v>1888</v>
      </c>
      <c r="W300" s="64" t="s">
        <v>1904</v>
      </c>
      <c r="X300" s="102">
        <v>2.74</v>
      </c>
      <c r="Y300"/>
      <c r="Z300"/>
      <c r="AA300" s="61"/>
      <c r="AB300" s="18"/>
      <c r="AC300" s="19"/>
      <c r="AD300" s="19"/>
      <c r="AE300" s="19"/>
    </row>
    <row r="301" spans="1:34">
      <c r="A301" s="9" t="s">
        <v>995</v>
      </c>
      <c r="B301" s="9" t="s">
        <v>996</v>
      </c>
      <c r="C301" s="9" t="s">
        <v>997</v>
      </c>
      <c r="D301" s="9" t="s">
        <v>1266</v>
      </c>
      <c r="E301" s="96"/>
      <c r="F301" s="9" t="s">
        <v>999</v>
      </c>
      <c r="G301" s="13" t="s">
        <v>1000</v>
      </c>
      <c r="H301" s="9" t="s">
        <v>1001</v>
      </c>
      <c r="I301" s="11" t="s">
        <v>1025</v>
      </c>
      <c r="J301" s="10" t="s">
        <v>1296</v>
      </c>
      <c r="K301" s="9" t="s">
        <v>1297</v>
      </c>
      <c r="L301" s="9">
        <v>13150063506</v>
      </c>
      <c r="M301" s="11" t="s">
        <v>1884</v>
      </c>
      <c r="N301" s="10" t="s">
        <v>1311</v>
      </c>
      <c r="O301" s="9" t="s">
        <v>1300</v>
      </c>
      <c r="P301" s="9">
        <v>18921185806</v>
      </c>
      <c r="Q301" s="10" t="s">
        <v>1885</v>
      </c>
      <c r="R301" s="10" t="s">
        <v>1299</v>
      </c>
      <c r="S301" s="57" t="s">
        <v>1905</v>
      </c>
      <c r="T301" s="57" t="s">
        <v>1906</v>
      </c>
      <c r="U301" s="64" t="s">
        <v>1880</v>
      </c>
      <c r="V301" s="9" t="s">
        <v>1888</v>
      </c>
      <c r="W301" s="64" t="s">
        <v>1907</v>
      </c>
      <c r="X301" s="102">
        <v>2.12</v>
      </c>
      <c r="Y301"/>
      <c r="Z301"/>
      <c r="AA301" s="61"/>
      <c r="AB301" s="18"/>
      <c r="AC301" s="19"/>
      <c r="AD301" s="19"/>
      <c r="AE301" s="19"/>
      <c r="AF301" s="114"/>
      <c r="AG301" s="114"/>
      <c r="AH301" s="114"/>
    </row>
    <row r="302" spans="1:34">
      <c r="A302" s="9" t="s">
        <v>995</v>
      </c>
      <c r="B302" s="9" t="s">
        <v>996</v>
      </c>
      <c r="C302" s="9" t="s">
        <v>997</v>
      </c>
      <c r="D302" s="9" t="s">
        <v>1266</v>
      </c>
      <c r="E302" s="96"/>
      <c r="F302" s="9" t="s">
        <v>999</v>
      </c>
      <c r="G302" s="13" t="s">
        <v>1000</v>
      </c>
      <c r="H302" s="9" t="s">
        <v>1001</v>
      </c>
      <c r="I302" s="11" t="s">
        <v>1025</v>
      </c>
      <c r="J302" s="10" t="s">
        <v>1296</v>
      </c>
      <c r="K302" s="9" t="s">
        <v>1297</v>
      </c>
      <c r="L302" s="9">
        <v>13150063506</v>
      </c>
      <c r="M302" s="11" t="s">
        <v>1884</v>
      </c>
      <c r="N302" s="10" t="s">
        <v>1311</v>
      </c>
      <c r="O302" s="9" t="s">
        <v>1300</v>
      </c>
      <c r="P302" s="9">
        <v>18921185806</v>
      </c>
      <c r="Q302" s="10" t="s">
        <v>1885</v>
      </c>
      <c r="R302" s="10" t="s">
        <v>1299</v>
      </c>
      <c r="S302" s="57" t="s">
        <v>1908</v>
      </c>
      <c r="T302" s="57" t="s">
        <v>1909</v>
      </c>
      <c r="U302" s="64" t="s">
        <v>1880</v>
      </c>
      <c r="V302" s="9" t="s">
        <v>1888</v>
      </c>
      <c r="W302" s="64" t="s">
        <v>1910</v>
      </c>
      <c r="X302" s="102">
        <v>3.25</v>
      </c>
      <c r="Y302"/>
      <c r="Z302"/>
      <c r="AA302" s="61"/>
      <c r="AB302" s="18"/>
      <c r="AC302" s="19"/>
      <c r="AD302" s="19"/>
      <c r="AE302" s="19"/>
      <c r="AF302" s="114"/>
      <c r="AG302" s="114"/>
      <c r="AH302" s="114"/>
    </row>
    <row r="303" spans="1:34">
      <c r="A303" s="9" t="s">
        <v>995</v>
      </c>
      <c r="B303" s="9" t="s">
        <v>996</v>
      </c>
      <c r="C303" s="9" t="s">
        <v>997</v>
      </c>
      <c r="D303" s="9" t="s">
        <v>1266</v>
      </c>
      <c r="E303" s="96"/>
      <c r="F303" s="9" t="s">
        <v>999</v>
      </c>
      <c r="G303" s="13" t="s">
        <v>1000</v>
      </c>
      <c r="H303" s="9" t="s">
        <v>1001</v>
      </c>
      <c r="I303" s="11" t="s">
        <v>1025</v>
      </c>
      <c r="J303" s="10" t="s">
        <v>1296</v>
      </c>
      <c r="K303" s="9" t="s">
        <v>1297</v>
      </c>
      <c r="L303" s="9">
        <v>13150063506</v>
      </c>
      <c r="M303" s="11" t="s">
        <v>1884</v>
      </c>
      <c r="N303" s="10" t="s">
        <v>1311</v>
      </c>
      <c r="O303" s="9" t="s">
        <v>1300</v>
      </c>
      <c r="P303" s="9">
        <v>18921185806</v>
      </c>
      <c r="Q303" s="10" t="s">
        <v>1885</v>
      </c>
      <c r="R303" s="10" t="s">
        <v>1299</v>
      </c>
      <c r="S303" s="57" t="s">
        <v>1911</v>
      </c>
      <c r="T303" s="57" t="s">
        <v>1912</v>
      </c>
      <c r="U303" s="64" t="s">
        <v>1880</v>
      </c>
      <c r="V303" s="9" t="s">
        <v>1888</v>
      </c>
      <c r="W303" s="64" t="s">
        <v>1913</v>
      </c>
      <c r="X303" s="102">
        <v>4.94</v>
      </c>
      <c r="Y303"/>
      <c r="Z303"/>
      <c r="AA303" s="61"/>
      <c r="AB303" s="18"/>
      <c r="AC303" s="19"/>
      <c r="AD303" s="19"/>
      <c r="AE303" s="19"/>
      <c r="AF303" s="115"/>
      <c r="AG303" s="114"/>
      <c r="AH303" s="114"/>
    </row>
    <row r="304" spans="1:34">
      <c r="A304" s="9" t="s">
        <v>995</v>
      </c>
      <c r="B304" s="9" t="s">
        <v>996</v>
      </c>
      <c r="C304" s="9" t="s">
        <v>997</v>
      </c>
      <c r="D304" s="9" t="s">
        <v>1266</v>
      </c>
      <c r="E304" s="96"/>
      <c r="F304" s="9" t="s">
        <v>999</v>
      </c>
      <c r="G304" s="13" t="s">
        <v>1000</v>
      </c>
      <c r="H304" s="9" t="s">
        <v>1001</v>
      </c>
      <c r="I304" s="11" t="s">
        <v>1025</v>
      </c>
      <c r="J304" s="10" t="s">
        <v>1296</v>
      </c>
      <c r="K304" s="9" t="s">
        <v>1297</v>
      </c>
      <c r="L304" s="9">
        <v>13150063506</v>
      </c>
      <c r="M304" s="11" t="s">
        <v>1884</v>
      </c>
      <c r="N304" s="10" t="s">
        <v>1311</v>
      </c>
      <c r="O304" s="9" t="s">
        <v>1300</v>
      </c>
      <c r="P304" s="9">
        <v>18921185806</v>
      </c>
      <c r="Q304" s="10" t="s">
        <v>1885</v>
      </c>
      <c r="R304" s="10" t="s">
        <v>1299</v>
      </c>
      <c r="S304" s="57" t="s">
        <v>1914</v>
      </c>
      <c r="T304" s="57" t="s">
        <v>1915</v>
      </c>
      <c r="U304" s="64" t="s">
        <v>1880</v>
      </c>
      <c r="V304" s="9" t="s">
        <v>1888</v>
      </c>
      <c r="W304" s="64" t="s">
        <v>1916</v>
      </c>
      <c r="X304" s="102">
        <v>0.67</v>
      </c>
      <c r="Y304"/>
      <c r="Z304"/>
      <c r="AA304" s="61"/>
      <c r="AB304" s="18"/>
      <c r="AC304" s="19"/>
      <c r="AD304" s="19"/>
      <c r="AE304" s="19"/>
      <c r="AF304" s="115"/>
      <c r="AG304" s="114"/>
      <c r="AH304" s="114"/>
    </row>
    <row r="305" spans="1:34">
      <c r="A305" s="9" t="s">
        <v>995</v>
      </c>
      <c r="B305" s="9" t="s">
        <v>996</v>
      </c>
      <c r="C305" s="9" t="s">
        <v>997</v>
      </c>
      <c r="D305" s="9" t="s">
        <v>1266</v>
      </c>
      <c r="E305" s="96"/>
      <c r="F305" s="9" t="s">
        <v>999</v>
      </c>
      <c r="G305" s="13" t="s">
        <v>1000</v>
      </c>
      <c r="H305" s="9" t="s">
        <v>1001</v>
      </c>
      <c r="I305" s="11" t="s">
        <v>1025</v>
      </c>
      <c r="J305" s="10" t="s">
        <v>1296</v>
      </c>
      <c r="K305" s="9" t="s">
        <v>1297</v>
      </c>
      <c r="L305" s="9">
        <v>13150063506</v>
      </c>
      <c r="M305" s="11" t="s">
        <v>1884</v>
      </c>
      <c r="N305" s="10" t="s">
        <v>1311</v>
      </c>
      <c r="O305" s="9" t="s">
        <v>1300</v>
      </c>
      <c r="P305" s="9">
        <v>18921185806</v>
      </c>
      <c r="Q305" s="10" t="s">
        <v>1885</v>
      </c>
      <c r="R305" s="10" t="s">
        <v>1299</v>
      </c>
      <c r="S305" s="57" t="s">
        <v>1917</v>
      </c>
      <c r="T305" s="57" t="s">
        <v>1918</v>
      </c>
      <c r="U305" s="64" t="s">
        <v>1880</v>
      </c>
      <c r="V305" s="9" t="s">
        <v>1888</v>
      </c>
      <c r="W305" s="64" t="s">
        <v>1919</v>
      </c>
      <c r="X305" s="102">
        <v>2.6</v>
      </c>
      <c r="Y305"/>
      <c r="Z305"/>
      <c r="AA305" s="61"/>
      <c r="AB305" s="18"/>
      <c r="AC305" s="19"/>
      <c r="AD305" s="19"/>
      <c r="AE305" s="19"/>
      <c r="AF305" s="115"/>
      <c r="AG305" s="114"/>
      <c r="AH305" s="114"/>
    </row>
    <row r="306" spans="1:34">
      <c r="A306" s="9" t="s">
        <v>995</v>
      </c>
      <c r="B306" s="9" t="s">
        <v>996</v>
      </c>
      <c r="C306" s="9" t="s">
        <v>997</v>
      </c>
      <c r="D306" s="9" t="s">
        <v>1266</v>
      </c>
      <c r="E306" s="96"/>
      <c r="F306" s="9" t="s">
        <v>999</v>
      </c>
      <c r="G306" s="13" t="s">
        <v>1000</v>
      </c>
      <c r="H306" s="9" t="s">
        <v>1001</v>
      </c>
      <c r="I306" s="11" t="s">
        <v>1025</v>
      </c>
      <c r="J306" s="10" t="s">
        <v>1296</v>
      </c>
      <c r="K306" s="9" t="s">
        <v>1297</v>
      </c>
      <c r="L306" s="9">
        <v>13150063506</v>
      </c>
      <c r="M306" s="11" t="s">
        <v>1884</v>
      </c>
      <c r="N306" s="10" t="s">
        <v>1311</v>
      </c>
      <c r="O306" s="9" t="s">
        <v>1300</v>
      </c>
      <c r="P306" s="9">
        <v>18921185806</v>
      </c>
      <c r="Q306" s="10" t="s">
        <v>1885</v>
      </c>
      <c r="R306" s="10" t="s">
        <v>1299</v>
      </c>
      <c r="S306" s="57" t="s">
        <v>1920</v>
      </c>
      <c r="T306" s="57" t="s">
        <v>1921</v>
      </c>
      <c r="U306" s="64" t="s">
        <v>1880</v>
      </c>
      <c r="V306" s="9" t="s">
        <v>1888</v>
      </c>
      <c r="W306" s="64" t="s">
        <v>1922</v>
      </c>
      <c r="X306" s="102">
        <v>4.81</v>
      </c>
      <c r="Y306"/>
      <c r="Z306"/>
      <c r="AA306" s="61"/>
      <c r="AB306" s="18"/>
      <c r="AC306" s="19"/>
      <c r="AD306" s="19"/>
      <c r="AE306" s="19"/>
      <c r="AF306" s="115"/>
      <c r="AG306" s="114"/>
      <c r="AH306" s="114"/>
    </row>
    <row r="307" spans="1:34">
      <c r="A307" s="9" t="s">
        <v>995</v>
      </c>
      <c r="B307" s="9" t="s">
        <v>996</v>
      </c>
      <c r="C307" s="9" t="s">
        <v>997</v>
      </c>
      <c r="D307" s="9" t="s">
        <v>1266</v>
      </c>
      <c r="E307" s="96"/>
      <c r="F307" s="9" t="s">
        <v>999</v>
      </c>
      <c r="G307" s="13" t="s">
        <v>1000</v>
      </c>
      <c r="H307" s="9" t="s">
        <v>1001</v>
      </c>
      <c r="I307" s="11" t="s">
        <v>1025</v>
      </c>
      <c r="J307" s="10" t="s">
        <v>1296</v>
      </c>
      <c r="K307" s="9" t="s">
        <v>1297</v>
      </c>
      <c r="L307" s="9">
        <v>13150063506</v>
      </c>
      <c r="M307" s="11" t="s">
        <v>1884</v>
      </c>
      <c r="N307" s="10" t="s">
        <v>1311</v>
      </c>
      <c r="O307" s="9" t="s">
        <v>1300</v>
      </c>
      <c r="P307" s="9">
        <v>18921185806</v>
      </c>
      <c r="Q307" s="10" t="s">
        <v>1885</v>
      </c>
      <c r="R307" s="10" t="s">
        <v>1299</v>
      </c>
      <c r="S307" s="57" t="s">
        <v>1923</v>
      </c>
      <c r="T307" s="57" t="s">
        <v>1924</v>
      </c>
      <c r="U307" s="64" t="s">
        <v>1880</v>
      </c>
      <c r="V307" s="9" t="s">
        <v>1888</v>
      </c>
      <c r="W307" s="64" t="s">
        <v>1925</v>
      </c>
      <c r="X307" s="102">
        <v>0.19</v>
      </c>
      <c r="Y307"/>
      <c r="Z307"/>
      <c r="AA307" s="61"/>
      <c r="AB307" s="18"/>
      <c r="AC307" s="19"/>
      <c r="AD307" s="19"/>
      <c r="AE307" s="19"/>
      <c r="AF307" s="115"/>
      <c r="AG307" s="114"/>
      <c r="AH307" s="114"/>
    </row>
    <row r="308" spans="1:34">
      <c r="A308" s="9" t="s">
        <v>995</v>
      </c>
      <c r="B308" s="9" t="s">
        <v>996</v>
      </c>
      <c r="C308" s="9" t="s">
        <v>997</v>
      </c>
      <c r="D308" s="9" t="s">
        <v>1266</v>
      </c>
      <c r="E308" s="96"/>
      <c r="F308" s="9" t="s">
        <v>999</v>
      </c>
      <c r="G308" s="13" t="s">
        <v>1000</v>
      </c>
      <c r="H308" s="9" t="s">
        <v>1001</v>
      </c>
      <c r="I308" s="11" t="s">
        <v>1025</v>
      </c>
      <c r="J308" s="10" t="s">
        <v>1296</v>
      </c>
      <c r="K308" s="9" t="s">
        <v>1297</v>
      </c>
      <c r="L308" s="9">
        <v>13150063506</v>
      </c>
      <c r="M308" s="11" t="s">
        <v>1884</v>
      </c>
      <c r="N308" s="10" t="s">
        <v>1311</v>
      </c>
      <c r="O308" s="9" t="s">
        <v>1300</v>
      </c>
      <c r="P308" s="9">
        <v>18921185806</v>
      </c>
      <c r="Q308" s="10" t="s">
        <v>1885</v>
      </c>
      <c r="R308" s="10" t="s">
        <v>1299</v>
      </c>
      <c r="S308" s="57" t="s">
        <v>1926</v>
      </c>
      <c r="T308" s="57" t="s">
        <v>1927</v>
      </c>
      <c r="U308" s="64" t="s">
        <v>1880</v>
      </c>
      <c r="V308" s="9" t="s">
        <v>1888</v>
      </c>
      <c r="W308" s="64" t="s">
        <v>1928</v>
      </c>
      <c r="X308" s="102">
        <v>0.45</v>
      </c>
      <c r="Y308"/>
      <c r="Z308"/>
      <c r="AA308" s="61"/>
      <c r="AB308" s="18"/>
      <c r="AC308" s="19"/>
      <c r="AD308" s="19"/>
      <c r="AE308" s="19"/>
      <c r="AF308" s="114"/>
      <c r="AG308" s="114"/>
      <c r="AH308" s="114"/>
    </row>
    <row r="309" spans="1:34">
      <c r="A309" s="9" t="s">
        <v>995</v>
      </c>
      <c r="B309" s="9" t="s">
        <v>996</v>
      </c>
      <c r="C309" s="9" t="s">
        <v>997</v>
      </c>
      <c r="D309" s="9" t="s">
        <v>1266</v>
      </c>
      <c r="E309" s="96"/>
      <c r="F309" s="9" t="s">
        <v>999</v>
      </c>
      <c r="G309" s="13" t="s">
        <v>1000</v>
      </c>
      <c r="H309" s="9" t="s">
        <v>1001</v>
      </c>
      <c r="I309" s="11" t="s">
        <v>1025</v>
      </c>
      <c r="J309" s="10" t="s">
        <v>1296</v>
      </c>
      <c r="K309" s="9" t="s">
        <v>1297</v>
      </c>
      <c r="L309" s="9">
        <v>13150063506</v>
      </c>
      <c r="M309" s="11" t="s">
        <v>1884</v>
      </c>
      <c r="N309" s="10" t="s">
        <v>1311</v>
      </c>
      <c r="O309" s="9" t="s">
        <v>1300</v>
      </c>
      <c r="P309" s="9">
        <v>18921185806</v>
      </c>
      <c r="Q309" s="10" t="s">
        <v>1885</v>
      </c>
      <c r="R309" s="10" t="s">
        <v>1299</v>
      </c>
      <c r="S309" s="57" t="s">
        <v>1929</v>
      </c>
      <c r="T309" s="57" t="s">
        <v>1930</v>
      </c>
      <c r="U309" s="64" t="s">
        <v>1880</v>
      </c>
      <c r="V309" s="9" t="s">
        <v>1888</v>
      </c>
      <c r="W309" s="64" t="s">
        <v>1931</v>
      </c>
      <c r="X309" s="102">
        <v>0.55</v>
      </c>
      <c r="Y309"/>
      <c r="Z309"/>
      <c r="AA309" s="61"/>
      <c r="AB309" s="18"/>
      <c r="AC309" s="19"/>
      <c r="AD309" s="19"/>
      <c r="AE309" s="19"/>
      <c r="AF309" s="114"/>
      <c r="AG309" s="114"/>
      <c r="AH309" s="114"/>
    </row>
    <row r="310" spans="1:34">
      <c r="A310" s="9" t="s">
        <v>995</v>
      </c>
      <c r="B310" s="9" t="s">
        <v>996</v>
      </c>
      <c r="C310" s="9" t="s">
        <v>997</v>
      </c>
      <c r="D310" s="9" t="s">
        <v>1266</v>
      </c>
      <c r="E310" s="96"/>
      <c r="F310" s="9" t="s">
        <v>999</v>
      </c>
      <c r="G310" s="13" t="s">
        <v>1000</v>
      </c>
      <c r="H310" s="9" t="s">
        <v>1001</v>
      </c>
      <c r="I310" s="11" t="s">
        <v>1025</v>
      </c>
      <c r="J310" s="10" t="s">
        <v>1296</v>
      </c>
      <c r="K310" s="9" t="s">
        <v>1297</v>
      </c>
      <c r="L310" s="9">
        <v>13150063506</v>
      </c>
      <c r="M310" s="11" t="s">
        <v>1884</v>
      </c>
      <c r="N310" s="10" t="s">
        <v>1311</v>
      </c>
      <c r="O310" s="9" t="s">
        <v>1300</v>
      </c>
      <c r="P310" s="9">
        <v>18921185806</v>
      </c>
      <c r="Q310" s="10" t="s">
        <v>1885</v>
      </c>
      <c r="R310" s="10" t="s">
        <v>1299</v>
      </c>
      <c r="S310" s="57" t="s">
        <v>1932</v>
      </c>
      <c r="T310" s="57" t="s">
        <v>1933</v>
      </c>
      <c r="U310" s="64" t="s">
        <v>1880</v>
      </c>
      <c r="V310" s="9" t="s">
        <v>1888</v>
      </c>
      <c r="W310" s="64" t="s">
        <v>1934</v>
      </c>
      <c r="X310" s="102">
        <v>1</v>
      </c>
      <c r="Y310"/>
      <c r="Z310"/>
      <c r="AA310" s="61"/>
      <c r="AB310" s="18"/>
      <c r="AC310" s="19"/>
      <c r="AD310" s="19"/>
      <c r="AE310" s="19"/>
      <c r="AF310" s="114"/>
      <c r="AG310" s="114"/>
      <c r="AH310" s="114"/>
    </row>
    <row r="311" spans="1:34">
      <c r="A311" s="9" t="s">
        <v>995</v>
      </c>
      <c r="B311" s="9" t="s">
        <v>996</v>
      </c>
      <c r="C311" s="9" t="s">
        <v>997</v>
      </c>
      <c r="D311" s="9" t="s">
        <v>1266</v>
      </c>
      <c r="E311" s="96"/>
      <c r="F311" s="9" t="s">
        <v>999</v>
      </c>
      <c r="G311" s="13" t="s">
        <v>1000</v>
      </c>
      <c r="H311" s="9" t="s">
        <v>1001</v>
      </c>
      <c r="I311" s="11" t="s">
        <v>1025</v>
      </c>
      <c r="J311" s="10" t="s">
        <v>1296</v>
      </c>
      <c r="K311" s="9" t="s">
        <v>1297</v>
      </c>
      <c r="L311" s="9">
        <v>13150063506</v>
      </c>
      <c r="M311" s="11" t="s">
        <v>1884</v>
      </c>
      <c r="N311" s="10" t="s">
        <v>1311</v>
      </c>
      <c r="O311" s="9" t="s">
        <v>1300</v>
      </c>
      <c r="P311" s="9">
        <v>18921185806</v>
      </c>
      <c r="Q311" s="10" t="s">
        <v>1885</v>
      </c>
      <c r="R311" s="10" t="s">
        <v>1299</v>
      </c>
      <c r="S311" s="57" t="s">
        <v>1935</v>
      </c>
      <c r="T311" s="57" t="s">
        <v>1936</v>
      </c>
      <c r="U311" s="64" t="s">
        <v>1880</v>
      </c>
      <c r="V311" s="9" t="s">
        <v>1888</v>
      </c>
      <c r="W311" s="64" t="s">
        <v>1937</v>
      </c>
      <c r="X311" s="102">
        <v>0.31</v>
      </c>
      <c r="Y311"/>
      <c r="Z311"/>
      <c r="AA311" s="61"/>
      <c r="AB311" s="18"/>
      <c r="AC311" s="19"/>
      <c r="AD311" s="19"/>
      <c r="AE311" s="19"/>
      <c r="AF311" s="114"/>
      <c r="AG311" s="114"/>
      <c r="AH311" s="114"/>
    </row>
    <row r="312" spans="1:34">
      <c r="A312" s="9" t="s">
        <v>995</v>
      </c>
      <c r="B312" s="9" t="s">
        <v>996</v>
      </c>
      <c r="C312" s="9" t="s">
        <v>997</v>
      </c>
      <c r="D312" s="9" t="s">
        <v>1266</v>
      </c>
      <c r="E312" s="96"/>
      <c r="F312" s="9" t="s">
        <v>999</v>
      </c>
      <c r="G312" s="13" t="s">
        <v>1000</v>
      </c>
      <c r="H312" s="9" t="s">
        <v>1001</v>
      </c>
      <c r="I312" s="11" t="s">
        <v>1025</v>
      </c>
      <c r="J312" s="10" t="s">
        <v>1296</v>
      </c>
      <c r="K312" s="9" t="s">
        <v>1297</v>
      </c>
      <c r="L312" s="9">
        <v>13150063506</v>
      </c>
      <c r="M312" s="11" t="s">
        <v>1884</v>
      </c>
      <c r="N312" s="10" t="s">
        <v>1311</v>
      </c>
      <c r="O312" s="9" t="s">
        <v>1300</v>
      </c>
      <c r="P312" s="9">
        <v>18921185806</v>
      </c>
      <c r="Q312" s="10" t="s">
        <v>1885</v>
      </c>
      <c r="R312" s="10" t="s">
        <v>1299</v>
      </c>
      <c r="S312" s="57" t="s">
        <v>1938</v>
      </c>
      <c r="T312" s="57" t="s">
        <v>1939</v>
      </c>
      <c r="U312" s="64" t="s">
        <v>1880</v>
      </c>
      <c r="V312" s="9" t="s">
        <v>1888</v>
      </c>
      <c r="W312" s="64" t="s">
        <v>1940</v>
      </c>
      <c r="X312" s="102">
        <v>0.66</v>
      </c>
      <c r="Y312"/>
      <c r="Z312"/>
      <c r="AA312" s="61"/>
      <c r="AB312" s="18"/>
      <c r="AC312" s="19"/>
      <c r="AD312" s="19"/>
      <c r="AE312" s="19"/>
      <c r="AF312" s="114"/>
      <c r="AG312" s="114"/>
      <c r="AH312" s="114"/>
    </row>
    <row r="313" ht="23.25" customHeight="1" spans="1:34">
      <c r="A313" s="9" t="s">
        <v>995</v>
      </c>
      <c r="B313" s="9" t="s">
        <v>996</v>
      </c>
      <c r="C313" s="9" t="s">
        <v>997</v>
      </c>
      <c r="D313" s="9" t="s">
        <v>1266</v>
      </c>
      <c r="E313" s="96"/>
      <c r="F313" s="9" t="s">
        <v>999</v>
      </c>
      <c r="G313" s="13" t="s">
        <v>1000</v>
      </c>
      <c r="H313" s="9" t="s">
        <v>1001</v>
      </c>
      <c r="I313" s="11" t="s">
        <v>1025</v>
      </c>
      <c r="J313" s="10" t="s">
        <v>1296</v>
      </c>
      <c r="K313" s="9" t="s">
        <v>1297</v>
      </c>
      <c r="L313" s="9">
        <v>13150063506</v>
      </c>
      <c r="M313" s="11" t="s">
        <v>1884</v>
      </c>
      <c r="N313" s="10" t="s">
        <v>1311</v>
      </c>
      <c r="O313" s="9" t="s">
        <v>1300</v>
      </c>
      <c r="P313" s="9">
        <v>18921185806</v>
      </c>
      <c r="Q313" s="10" t="s">
        <v>1885</v>
      </c>
      <c r="R313" s="10" t="s">
        <v>1299</v>
      </c>
      <c r="S313" s="57" t="s">
        <v>1941</v>
      </c>
      <c r="T313" s="57" t="s">
        <v>1942</v>
      </c>
      <c r="U313" s="64" t="s">
        <v>1880</v>
      </c>
      <c r="V313" s="9" t="s">
        <v>1888</v>
      </c>
      <c r="W313" s="64" t="s">
        <v>1943</v>
      </c>
      <c r="X313" s="102">
        <v>4.95</v>
      </c>
      <c r="Y313"/>
      <c r="Z313"/>
      <c r="AA313" s="61"/>
      <c r="AB313" s="18"/>
      <c r="AC313" s="19"/>
      <c r="AD313" s="19"/>
      <c r="AE313" s="19"/>
      <c r="AF313" s="114"/>
      <c r="AG313" s="114"/>
      <c r="AH313" s="114"/>
    </row>
    <row r="314" spans="1:34">
      <c r="A314" s="9" t="s">
        <v>995</v>
      </c>
      <c r="B314" s="9" t="s">
        <v>996</v>
      </c>
      <c r="C314" s="9" t="s">
        <v>997</v>
      </c>
      <c r="D314" s="9" t="s">
        <v>1266</v>
      </c>
      <c r="E314" s="96"/>
      <c r="F314" s="9" t="s">
        <v>999</v>
      </c>
      <c r="G314" s="13" t="s">
        <v>1000</v>
      </c>
      <c r="H314" s="9" t="s">
        <v>1001</v>
      </c>
      <c r="I314" s="11" t="s">
        <v>1025</v>
      </c>
      <c r="J314" s="10" t="s">
        <v>1296</v>
      </c>
      <c r="K314" s="9" t="s">
        <v>1297</v>
      </c>
      <c r="L314" s="9">
        <v>18921185806</v>
      </c>
      <c r="M314" s="11" t="s">
        <v>1944</v>
      </c>
      <c r="N314" s="10" t="s">
        <v>1317</v>
      </c>
      <c r="O314" s="9" t="s">
        <v>1297</v>
      </c>
      <c r="P314" s="9">
        <v>15348276263</v>
      </c>
      <c r="Q314" s="10" t="s">
        <v>1945</v>
      </c>
      <c r="R314" s="10" t="s">
        <v>1317</v>
      </c>
      <c r="S314" s="57" t="s">
        <v>1946</v>
      </c>
      <c r="T314" s="57" t="s">
        <v>1320</v>
      </c>
      <c r="U314" s="64" t="s">
        <v>1947</v>
      </c>
      <c r="V314" s="9" t="s">
        <v>1948</v>
      </c>
      <c r="W314" s="64" t="s">
        <v>1321</v>
      </c>
      <c r="X314" s="97">
        <v>590.1</v>
      </c>
      <c r="Y314" s="99">
        <v>594.32</v>
      </c>
      <c r="Z314" s="99">
        <v>584.46</v>
      </c>
      <c r="AA314" s="61" t="s">
        <v>1420</v>
      </c>
      <c r="AB314" s="18"/>
      <c r="AC314" s="19"/>
      <c r="AD314" s="19"/>
      <c r="AE314" s="19"/>
      <c r="AF314" s="114"/>
      <c r="AG314" s="114"/>
      <c r="AH314" s="114"/>
    </row>
    <row r="315" s="33" customFormat="1" spans="1:34">
      <c r="A315" s="13" t="s">
        <v>995</v>
      </c>
      <c r="B315" s="13" t="s">
        <v>996</v>
      </c>
      <c r="C315" s="13" t="s">
        <v>997</v>
      </c>
      <c r="D315" s="13" t="s">
        <v>1266</v>
      </c>
      <c r="E315" s="55"/>
      <c r="F315" s="13" t="s">
        <v>999</v>
      </c>
      <c r="G315" s="13" t="s">
        <v>1000</v>
      </c>
      <c r="H315" s="13" t="s">
        <v>1001</v>
      </c>
      <c r="I315" s="56" t="s">
        <v>1025</v>
      </c>
      <c r="J315" s="10" t="s">
        <v>1296</v>
      </c>
      <c r="K315" s="13" t="s">
        <v>1297</v>
      </c>
      <c r="L315" s="13">
        <v>18921185806</v>
      </c>
      <c r="M315" s="56" t="s">
        <v>1944</v>
      </c>
      <c r="N315" s="54" t="s">
        <v>1317</v>
      </c>
      <c r="O315" s="13" t="s">
        <v>1297</v>
      </c>
      <c r="P315" s="13">
        <v>15348276263</v>
      </c>
      <c r="Q315" s="54" t="s">
        <v>1945</v>
      </c>
      <c r="R315" s="54" t="s">
        <v>1317</v>
      </c>
      <c r="S315" s="57" t="s">
        <v>1949</v>
      </c>
      <c r="T315" s="57" t="s">
        <v>1323</v>
      </c>
      <c r="U315" s="13" t="s">
        <v>1947</v>
      </c>
      <c r="V315" s="13" t="s">
        <v>1948</v>
      </c>
      <c r="W315" s="13" t="s">
        <v>1324</v>
      </c>
      <c r="X315" s="108">
        <v>2</v>
      </c>
      <c r="Y315" s="60">
        <v>0.08</v>
      </c>
      <c r="Z315" s="60">
        <v>0</v>
      </c>
      <c r="AA315" s="61" t="s">
        <v>1420</v>
      </c>
      <c r="AB315" s="18"/>
      <c r="AC315" s="19"/>
      <c r="AD315" s="19"/>
      <c r="AE315" s="19"/>
      <c r="AF315" s="116"/>
      <c r="AG315" s="116"/>
      <c r="AH315" s="116"/>
    </row>
    <row r="316" spans="1:34">
      <c r="A316" s="9" t="s">
        <v>995</v>
      </c>
      <c r="B316" s="9" t="s">
        <v>996</v>
      </c>
      <c r="C316" s="9" t="s">
        <v>997</v>
      </c>
      <c r="D316" s="9" t="s">
        <v>1325</v>
      </c>
      <c r="E316" s="96"/>
      <c r="F316" s="9" t="s">
        <v>999</v>
      </c>
      <c r="G316" s="13" t="s">
        <v>1000</v>
      </c>
      <c r="H316" s="9" t="s">
        <v>1001</v>
      </c>
      <c r="I316" s="11" t="s">
        <v>1267</v>
      </c>
      <c r="J316" s="10" t="s">
        <v>1326</v>
      </c>
      <c r="K316" s="9" t="s">
        <v>1327</v>
      </c>
      <c r="L316" s="9">
        <v>17702385059</v>
      </c>
      <c r="M316" s="11" t="s">
        <v>1270</v>
      </c>
      <c r="N316" s="10" t="s">
        <v>1329</v>
      </c>
      <c r="O316" s="9" t="s">
        <v>1330</v>
      </c>
      <c r="P316" s="9">
        <v>18580586609</v>
      </c>
      <c r="Q316" s="10" t="s">
        <v>1273</v>
      </c>
      <c r="R316" s="10" t="s">
        <v>1329</v>
      </c>
      <c r="S316" s="57" t="s">
        <v>1274</v>
      </c>
      <c r="T316" s="57" t="s">
        <v>1333</v>
      </c>
      <c r="U316" s="64" t="s">
        <v>1950</v>
      </c>
      <c r="V316" s="117" t="s">
        <v>1951</v>
      </c>
      <c r="W316" s="64" t="s">
        <v>1334</v>
      </c>
      <c r="X316" s="97">
        <v>109</v>
      </c>
      <c r="Y316" s="99">
        <v>106.9</v>
      </c>
      <c r="Z316" s="99">
        <v>106.03</v>
      </c>
      <c r="AA316" s="61"/>
      <c r="AB316" s="18"/>
      <c r="AC316" s="19"/>
      <c r="AD316" s="19"/>
      <c r="AE316" s="19"/>
      <c r="AF316" s="114"/>
      <c r="AG316" s="114"/>
      <c r="AH316" s="114"/>
    </row>
    <row r="317" spans="1:34">
      <c r="A317" s="9" t="s">
        <v>995</v>
      </c>
      <c r="B317" s="9" t="s">
        <v>996</v>
      </c>
      <c r="C317" s="9" t="s">
        <v>997</v>
      </c>
      <c r="D317" s="9" t="s">
        <v>1325</v>
      </c>
      <c r="E317" s="96"/>
      <c r="F317" s="9" t="s">
        <v>999</v>
      </c>
      <c r="G317" s="13" t="s">
        <v>1000</v>
      </c>
      <c r="H317" s="9" t="s">
        <v>1001</v>
      </c>
      <c r="I317" s="11" t="s">
        <v>1267</v>
      </c>
      <c r="J317" s="10" t="s">
        <v>1326</v>
      </c>
      <c r="K317" s="9" t="s">
        <v>1327</v>
      </c>
      <c r="L317" s="9">
        <v>17702385059</v>
      </c>
      <c r="M317" s="11" t="s">
        <v>1270</v>
      </c>
      <c r="N317" s="10" t="s">
        <v>1329</v>
      </c>
      <c r="O317" s="9" t="s">
        <v>1330</v>
      </c>
      <c r="P317" s="9">
        <v>18580586609</v>
      </c>
      <c r="Q317" s="10" t="s">
        <v>1273</v>
      </c>
      <c r="R317" s="10" t="s">
        <v>1329</v>
      </c>
      <c r="S317" s="57" t="s">
        <v>1952</v>
      </c>
      <c r="T317" s="57" t="s">
        <v>1336</v>
      </c>
      <c r="U317" s="64" t="s">
        <v>1953</v>
      </c>
      <c r="V317" s="9" t="s">
        <v>1809</v>
      </c>
      <c r="W317" s="64" t="s">
        <v>1337</v>
      </c>
      <c r="X317" s="97">
        <v>158</v>
      </c>
      <c r="Y317" s="99">
        <v>143.07</v>
      </c>
      <c r="Z317" s="99">
        <v>142.75</v>
      </c>
      <c r="AA317" s="61"/>
      <c r="AB317" s="18"/>
      <c r="AC317" s="19"/>
      <c r="AD317" s="19"/>
      <c r="AE317" s="19"/>
      <c r="AF317" s="114"/>
      <c r="AG317" s="114"/>
      <c r="AH317" s="114"/>
    </row>
    <row r="318" spans="1:34">
      <c r="A318" s="9" t="s">
        <v>995</v>
      </c>
      <c r="B318" s="9" t="s">
        <v>996</v>
      </c>
      <c r="C318" s="9" t="s">
        <v>997</v>
      </c>
      <c r="D318" s="9" t="s">
        <v>1325</v>
      </c>
      <c r="E318" s="96"/>
      <c r="F318" s="9" t="s">
        <v>999</v>
      </c>
      <c r="G318" s="13" t="s">
        <v>1000</v>
      </c>
      <c r="H318" s="9" t="s">
        <v>1001</v>
      </c>
      <c r="I318" s="11" t="s">
        <v>1267</v>
      </c>
      <c r="J318" s="10" t="s">
        <v>1326</v>
      </c>
      <c r="K318" s="9" t="s">
        <v>1327</v>
      </c>
      <c r="L318" s="9">
        <v>17702385059</v>
      </c>
      <c r="M318" s="11" t="s">
        <v>1270</v>
      </c>
      <c r="N318" s="10" t="s">
        <v>1329</v>
      </c>
      <c r="O318" s="9" t="s">
        <v>1330</v>
      </c>
      <c r="P318" s="9">
        <v>18580586609</v>
      </c>
      <c r="Q318" s="10" t="s">
        <v>1273</v>
      </c>
      <c r="R318" s="10" t="s">
        <v>1329</v>
      </c>
      <c r="S318" s="57" t="s">
        <v>1954</v>
      </c>
      <c r="T318" s="57" t="s">
        <v>1339</v>
      </c>
      <c r="U318" s="64" t="s">
        <v>1955</v>
      </c>
      <c r="V318" s="9" t="s">
        <v>1765</v>
      </c>
      <c r="W318" s="64" t="s">
        <v>1340</v>
      </c>
      <c r="X318" s="97">
        <v>192.98</v>
      </c>
      <c r="Y318" s="99">
        <v>177.97</v>
      </c>
      <c r="Z318" s="99">
        <v>175.52</v>
      </c>
      <c r="AA318" s="61"/>
      <c r="AB318" s="18"/>
      <c r="AC318" s="19"/>
      <c r="AD318" s="19"/>
      <c r="AE318" s="19"/>
      <c r="AF318" s="114"/>
      <c r="AG318" s="114"/>
      <c r="AH318" s="114"/>
    </row>
    <row r="319" spans="1:34">
      <c r="A319" s="9" t="s">
        <v>995</v>
      </c>
      <c r="B319" s="9" t="s">
        <v>996</v>
      </c>
      <c r="C319" s="9" t="s">
        <v>997</v>
      </c>
      <c r="D319" s="9" t="s">
        <v>1325</v>
      </c>
      <c r="E319" s="96"/>
      <c r="F319" s="9" t="s">
        <v>999</v>
      </c>
      <c r="G319" s="13" t="s">
        <v>1000</v>
      </c>
      <c r="H319" s="9" t="s">
        <v>1001</v>
      </c>
      <c r="I319" s="11" t="s">
        <v>1267</v>
      </c>
      <c r="J319" s="10" t="s">
        <v>1326</v>
      </c>
      <c r="K319" s="9" t="s">
        <v>1327</v>
      </c>
      <c r="L319" s="9">
        <v>17702385059</v>
      </c>
      <c r="M319" s="11" t="s">
        <v>1270</v>
      </c>
      <c r="N319" s="10" t="s">
        <v>1329</v>
      </c>
      <c r="O319" s="9" t="s">
        <v>1330</v>
      </c>
      <c r="P319" s="9">
        <v>18580586609</v>
      </c>
      <c r="Q319" s="10" t="s">
        <v>1273</v>
      </c>
      <c r="R319" s="10" t="s">
        <v>1329</v>
      </c>
      <c r="S319" s="57" t="s">
        <v>1956</v>
      </c>
      <c r="T319" s="57" t="s">
        <v>1342</v>
      </c>
      <c r="U319" s="64" t="s">
        <v>1955</v>
      </c>
      <c r="V319" s="9" t="s">
        <v>1957</v>
      </c>
      <c r="W319" s="64" t="s">
        <v>1343</v>
      </c>
      <c r="X319" s="97">
        <v>1.84</v>
      </c>
      <c r="Y319" s="99">
        <v>1.8</v>
      </c>
      <c r="Z319" s="99">
        <v>1.8</v>
      </c>
      <c r="AA319" s="61"/>
      <c r="AB319" s="18"/>
      <c r="AC319" s="19"/>
      <c r="AD319" s="19"/>
      <c r="AE319" s="19"/>
      <c r="AF319" s="114"/>
      <c r="AG319" s="114"/>
      <c r="AH319" s="114"/>
    </row>
    <row r="320" spans="1:34">
      <c r="A320" s="9" t="s">
        <v>995</v>
      </c>
      <c r="B320" s="9" t="s">
        <v>996</v>
      </c>
      <c r="C320" s="9" t="s">
        <v>997</v>
      </c>
      <c r="D320" s="9" t="s">
        <v>1040</v>
      </c>
      <c r="E320" s="96"/>
      <c r="F320" s="9" t="s">
        <v>999</v>
      </c>
      <c r="G320" s="13" t="s">
        <v>1000</v>
      </c>
      <c r="H320" s="9" t="s">
        <v>1001</v>
      </c>
      <c r="I320" s="11" t="s">
        <v>1267</v>
      </c>
      <c r="J320" s="10" t="s">
        <v>1326</v>
      </c>
      <c r="K320" s="9" t="s">
        <v>1327</v>
      </c>
      <c r="L320" s="9">
        <v>17702385059</v>
      </c>
      <c r="M320" s="11" t="s">
        <v>1277</v>
      </c>
      <c r="N320" s="10" t="s">
        <v>1345</v>
      </c>
      <c r="O320" s="9" t="s">
        <v>1327</v>
      </c>
      <c r="P320" s="9">
        <v>17702385059</v>
      </c>
      <c r="Q320" s="10" t="s">
        <v>1280</v>
      </c>
      <c r="R320" s="10" t="s">
        <v>1345</v>
      </c>
      <c r="S320" s="57" t="s">
        <v>1281</v>
      </c>
      <c r="T320" s="57" t="s">
        <v>1348</v>
      </c>
      <c r="U320" s="64" t="s">
        <v>1958</v>
      </c>
      <c r="V320" s="9" t="s">
        <v>1761</v>
      </c>
      <c r="W320" s="64" t="s">
        <v>1349</v>
      </c>
      <c r="X320" s="97">
        <v>2.86</v>
      </c>
      <c r="Y320" s="99">
        <v>3.11</v>
      </c>
      <c r="Z320" s="99">
        <v>3.11</v>
      </c>
      <c r="AA320" s="61" t="s">
        <v>1420</v>
      </c>
      <c r="AB320" s="18"/>
      <c r="AC320" s="19"/>
      <c r="AD320" s="19"/>
      <c r="AE320" s="19"/>
      <c r="AF320" s="114"/>
      <c r="AG320" s="114"/>
      <c r="AH320" s="114"/>
    </row>
    <row r="321" spans="1:34">
      <c r="A321" s="9" t="s">
        <v>995</v>
      </c>
      <c r="B321" s="9" t="s">
        <v>996</v>
      </c>
      <c r="C321" s="9" t="s">
        <v>997</v>
      </c>
      <c r="D321" s="9" t="s">
        <v>1040</v>
      </c>
      <c r="E321" s="96"/>
      <c r="F321" s="9" t="s">
        <v>999</v>
      </c>
      <c r="G321" s="13" t="s">
        <v>1000</v>
      </c>
      <c r="H321" s="9" t="s">
        <v>1001</v>
      </c>
      <c r="I321" s="11" t="s">
        <v>1267</v>
      </c>
      <c r="J321" s="10" t="s">
        <v>1326</v>
      </c>
      <c r="K321" s="9" t="s">
        <v>1327</v>
      </c>
      <c r="L321" s="9">
        <v>17702385059</v>
      </c>
      <c r="M321" s="11" t="s">
        <v>1277</v>
      </c>
      <c r="N321" s="10" t="s">
        <v>1345</v>
      </c>
      <c r="O321" s="9" t="s">
        <v>1327</v>
      </c>
      <c r="P321" s="9">
        <v>17702385059</v>
      </c>
      <c r="Q321" s="10" t="s">
        <v>1280</v>
      </c>
      <c r="R321" s="10" t="s">
        <v>1345</v>
      </c>
      <c r="S321" s="57" t="s">
        <v>1959</v>
      </c>
      <c r="T321" s="57" t="s">
        <v>1351</v>
      </c>
      <c r="U321" s="64" t="s">
        <v>1958</v>
      </c>
      <c r="V321" s="9" t="s">
        <v>1761</v>
      </c>
      <c r="W321" s="64" t="s">
        <v>1352</v>
      </c>
      <c r="X321" s="97">
        <v>342.78</v>
      </c>
      <c r="Y321" s="99">
        <v>358</v>
      </c>
      <c r="Z321" s="99">
        <v>356.5</v>
      </c>
      <c r="AA321" s="61" t="s">
        <v>1420</v>
      </c>
      <c r="AB321" s="18"/>
      <c r="AC321" s="19"/>
      <c r="AD321" s="19"/>
      <c r="AE321" s="19"/>
      <c r="AF321" s="114"/>
      <c r="AG321" s="114"/>
      <c r="AH321" s="114"/>
    </row>
    <row r="322" spans="1:34">
      <c r="A322" s="9" t="s">
        <v>995</v>
      </c>
      <c r="B322" s="9" t="s">
        <v>996</v>
      </c>
      <c r="C322" s="9" t="s">
        <v>997</v>
      </c>
      <c r="D322" s="9" t="s">
        <v>1040</v>
      </c>
      <c r="E322" s="96"/>
      <c r="F322" s="9" t="s">
        <v>999</v>
      </c>
      <c r="G322" s="13" t="s">
        <v>1000</v>
      </c>
      <c r="H322" s="9" t="s">
        <v>1001</v>
      </c>
      <c r="I322" s="11" t="s">
        <v>1190</v>
      </c>
      <c r="J322" s="10" t="s">
        <v>1191</v>
      </c>
      <c r="K322" s="9" t="s">
        <v>1193</v>
      </c>
      <c r="L322" s="9">
        <v>15988991188</v>
      </c>
      <c r="M322" s="11" t="s">
        <v>1960</v>
      </c>
      <c r="N322" s="10" t="s">
        <v>1354</v>
      </c>
      <c r="O322" s="9" t="s">
        <v>1355</v>
      </c>
      <c r="P322" s="9">
        <v>13350460273</v>
      </c>
      <c r="Q322" s="10" t="s">
        <v>1961</v>
      </c>
      <c r="R322" s="10" t="s">
        <v>1354</v>
      </c>
      <c r="S322" s="57" t="s">
        <v>1962</v>
      </c>
      <c r="T322" s="57" t="s">
        <v>1358</v>
      </c>
      <c r="U322" s="64" t="s">
        <v>1963</v>
      </c>
      <c r="V322" s="9" t="s">
        <v>1761</v>
      </c>
      <c r="W322" s="64" t="s">
        <v>1359</v>
      </c>
      <c r="X322" s="97">
        <v>467</v>
      </c>
      <c r="Y322" s="60">
        <v>582.4</v>
      </c>
      <c r="Z322" s="60">
        <v>564.15</v>
      </c>
      <c r="AA322" s="61"/>
      <c r="AB322" s="18"/>
      <c r="AC322" s="19"/>
      <c r="AD322" s="19"/>
      <c r="AE322" s="19"/>
      <c r="AF322" s="114"/>
      <c r="AG322" s="114"/>
      <c r="AH322" s="114"/>
    </row>
    <row r="323" spans="1:34">
      <c r="A323" s="9" t="s">
        <v>995</v>
      </c>
      <c r="B323" s="9" t="s">
        <v>996</v>
      </c>
      <c r="C323" s="9" t="s">
        <v>997</v>
      </c>
      <c r="D323" s="9" t="s">
        <v>1040</v>
      </c>
      <c r="E323" s="96"/>
      <c r="F323" s="9" t="s">
        <v>999</v>
      </c>
      <c r="G323" s="13" t="s">
        <v>1000</v>
      </c>
      <c r="H323" s="9" t="s">
        <v>1001</v>
      </c>
      <c r="I323" s="11" t="s">
        <v>1190</v>
      </c>
      <c r="J323" s="10" t="s">
        <v>1191</v>
      </c>
      <c r="K323" s="9" t="s">
        <v>1193</v>
      </c>
      <c r="L323" s="9">
        <v>15988991188</v>
      </c>
      <c r="M323" s="11" t="s">
        <v>1960</v>
      </c>
      <c r="N323" s="10" t="s">
        <v>1354</v>
      </c>
      <c r="O323" s="9" t="s">
        <v>1355</v>
      </c>
      <c r="P323" s="9">
        <v>13350460273</v>
      </c>
      <c r="Q323" s="10" t="s">
        <v>1961</v>
      </c>
      <c r="R323" s="10" t="s">
        <v>1354</v>
      </c>
      <c r="S323" s="57" t="s">
        <v>1964</v>
      </c>
      <c r="T323" s="57" t="s">
        <v>1361</v>
      </c>
      <c r="U323" s="64" t="s">
        <v>1963</v>
      </c>
      <c r="V323" s="118"/>
      <c r="W323" s="64" t="s">
        <v>1362</v>
      </c>
      <c r="X323" s="97">
        <v>19.2</v>
      </c>
      <c r="Y323" s="99">
        <v>19.2</v>
      </c>
      <c r="Z323" s="99">
        <v>18.65</v>
      </c>
      <c r="AA323" s="61"/>
      <c r="AB323" s="18"/>
      <c r="AC323" s="19"/>
      <c r="AD323" s="19"/>
      <c r="AE323" s="19"/>
      <c r="AF323" s="114"/>
      <c r="AG323" s="114"/>
      <c r="AH323" s="114"/>
    </row>
    <row r="324" spans="1:34">
      <c r="A324" s="9" t="s">
        <v>995</v>
      </c>
      <c r="B324" s="9" t="s">
        <v>996</v>
      </c>
      <c r="C324" s="9" t="s">
        <v>997</v>
      </c>
      <c r="D324" s="9" t="s">
        <v>1040</v>
      </c>
      <c r="E324" s="96"/>
      <c r="F324" s="9" t="s">
        <v>999</v>
      </c>
      <c r="G324" s="13" t="s">
        <v>1000</v>
      </c>
      <c r="H324" s="9" t="s">
        <v>1001</v>
      </c>
      <c r="I324" s="11" t="s">
        <v>1389</v>
      </c>
      <c r="J324" s="10" t="s">
        <v>1363</v>
      </c>
      <c r="K324" s="9" t="s">
        <v>1364</v>
      </c>
      <c r="L324" s="9">
        <v>13401493899</v>
      </c>
      <c r="M324" s="11" t="s">
        <v>1391</v>
      </c>
      <c r="N324" s="10" t="s">
        <v>1366</v>
      </c>
      <c r="O324" s="9" t="s">
        <v>1965</v>
      </c>
      <c r="P324" s="9">
        <v>15348280891</v>
      </c>
      <c r="Q324" s="10" t="s">
        <v>1394</v>
      </c>
      <c r="R324" s="10" t="s">
        <v>1366</v>
      </c>
      <c r="S324" s="57" t="s">
        <v>1395</v>
      </c>
      <c r="T324" s="57" t="s">
        <v>1370</v>
      </c>
      <c r="U324" s="64" t="s">
        <v>1966</v>
      </c>
      <c r="V324" s="9" t="s">
        <v>1761</v>
      </c>
      <c r="W324" s="64" t="s">
        <v>1371</v>
      </c>
      <c r="X324" s="97">
        <v>1226.9</v>
      </c>
      <c r="Y324" s="99">
        <v>1026.71</v>
      </c>
      <c r="Z324" s="99">
        <v>929.74</v>
      </c>
      <c r="AA324" s="61"/>
      <c r="AB324" s="18"/>
      <c r="AC324" s="19"/>
      <c r="AD324" s="19"/>
      <c r="AE324" s="19"/>
      <c r="AF324" s="114"/>
      <c r="AG324" s="114"/>
      <c r="AH324" s="114"/>
    </row>
    <row r="325" spans="1:34">
      <c r="A325" s="9" t="s">
        <v>995</v>
      </c>
      <c r="B325" s="9" t="s">
        <v>996</v>
      </c>
      <c r="C325" s="9" t="s">
        <v>997</v>
      </c>
      <c r="D325" s="9" t="s">
        <v>1040</v>
      </c>
      <c r="E325" s="96"/>
      <c r="F325" s="9" t="s">
        <v>999</v>
      </c>
      <c r="G325" s="13" t="s">
        <v>1000</v>
      </c>
      <c r="H325" s="9" t="s">
        <v>1001</v>
      </c>
      <c r="I325" s="11" t="s">
        <v>1389</v>
      </c>
      <c r="J325" s="10" t="s">
        <v>1363</v>
      </c>
      <c r="K325" s="9" t="s">
        <v>1364</v>
      </c>
      <c r="L325" s="9">
        <v>13401493899</v>
      </c>
      <c r="M325" s="11" t="s">
        <v>1398</v>
      </c>
      <c r="N325" s="10" t="s">
        <v>1373</v>
      </c>
      <c r="O325" s="9" t="s">
        <v>1374</v>
      </c>
      <c r="P325" s="9">
        <v>15223466629</v>
      </c>
      <c r="Q325" s="10" t="s">
        <v>1401</v>
      </c>
      <c r="R325" s="10" t="s">
        <v>1373</v>
      </c>
      <c r="S325" s="57" t="s">
        <v>1402</v>
      </c>
      <c r="T325" s="57" t="s">
        <v>1377</v>
      </c>
      <c r="U325" s="64" t="s">
        <v>1967</v>
      </c>
      <c r="V325" s="9" t="s">
        <v>1968</v>
      </c>
      <c r="W325" s="64" t="s">
        <v>1378</v>
      </c>
      <c r="X325" s="97">
        <v>545.61</v>
      </c>
      <c r="Y325" s="99">
        <v>553.25</v>
      </c>
      <c r="Z325" s="99">
        <v>541.78</v>
      </c>
      <c r="AA325" s="61"/>
      <c r="AB325" s="18"/>
      <c r="AC325" s="19"/>
      <c r="AD325" s="19"/>
      <c r="AE325" s="19"/>
      <c r="AF325" s="114"/>
      <c r="AG325" s="114"/>
      <c r="AH325" s="114"/>
    </row>
    <row r="326" spans="1:34">
      <c r="A326" s="9" t="s">
        <v>995</v>
      </c>
      <c r="B326" s="9" t="s">
        <v>996</v>
      </c>
      <c r="C326" s="9" t="s">
        <v>997</v>
      </c>
      <c r="D326" s="9" t="s">
        <v>1040</v>
      </c>
      <c r="E326" s="96"/>
      <c r="F326" s="9" t="s">
        <v>999</v>
      </c>
      <c r="G326" s="13" t="s">
        <v>1000</v>
      </c>
      <c r="H326" s="9" t="s">
        <v>1001</v>
      </c>
      <c r="I326" s="11" t="s">
        <v>1389</v>
      </c>
      <c r="J326" s="10" t="s">
        <v>1363</v>
      </c>
      <c r="K326" s="9" t="s">
        <v>1364</v>
      </c>
      <c r="L326" s="9">
        <v>13401493899</v>
      </c>
      <c r="M326" s="11" t="s">
        <v>1398</v>
      </c>
      <c r="N326" s="10" t="s">
        <v>1373</v>
      </c>
      <c r="O326" s="9" t="s">
        <v>1374</v>
      </c>
      <c r="P326" s="9">
        <v>15223466629</v>
      </c>
      <c r="Q326" s="10" t="s">
        <v>1401</v>
      </c>
      <c r="R326" s="10" t="s">
        <v>1373</v>
      </c>
      <c r="S326" s="57" t="s">
        <v>1969</v>
      </c>
      <c r="T326" s="57" t="s">
        <v>1380</v>
      </c>
      <c r="U326" s="64" t="s">
        <v>1967</v>
      </c>
      <c r="V326" s="101" t="s">
        <v>1970</v>
      </c>
      <c r="W326" s="100" t="s">
        <v>1381</v>
      </c>
      <c r="X326" s="97">
        <v>80.77</v>
      </c>
      <c r="Y326" s="60">
        <v>101.2</v>
      </c>
      <c r="Z326" s="60">
        <v>99.49</v>
      </c>
      <c r="AA326" s="61"/>
      <c r="AB326" s="18"/>
      <c r="AC326" s="19"/>
      <c r="AD326" s="19"/>
      <c r="AE326" s="19"/>
      <c r="AF326" s="114"/>
      <c r="AG326" s="114"/>
      <c r="AH326" s="114"/>
    </row>
    <row r="327" spans="1:34">
      <c r="A327" s="9" t="s">
        <v>995</v>
      </c>
      <c r="B327" s="9" t="s">
        <v>996</v>
      </c>
      <c r="C327" s="9" t="s">
        <v>997</v>
      </c>
      <c r="D327" s="9" t="s">
        <v>1040</v>
      </c>
      <c r="E327" s="96"/>
      <c r="F327" s="9" t="s">
        <v>999</v>
      </c>
      <c r="G327" s="13" t="s">
        <v>1000</v>
      </c>
      <c r="H327" s="9" t="s">
        <v>1001</v>
      </c>
      <c r="I327" s="11" t="s">
        <v>1389</v>
      </c>
      <c r="J327" s="10" t="s">
        <v>1363</v>
      </c>
      <c r="K327" s="9" t="s">
        <v>1364</v>
      </c>
      <c r="L327" s="9">
        <v>13401493899</v>
      </c>
      <c r="M327" s="11" t="s">
        <v>1398</v>
      </c>
      <c r="N327" s="10" t="s">
        <v>1373</v>
      </c>
      <c r="O327" s="9" t="s">
        <v>1374</v>
      </c>
      <c r="P327" s="9">
        <v>15223466629</v>
      </c>
      <c r="Q327" s="10" t="s">
        <v>1401</v>
      </c>
      <c r="R327" s="10" t="s">
        <v>1373</v>
      </c>
      <c r="S327" s="57" t="s">
        <v>1971</v>
      </c>
      <c r="T327" s="57" t="s">
        <v>1383</v>
      </c>
      <c r="U327" s="64" t="s">
        <v>1972</v>
      </c>
      <c r="V327" s="101" t="s">
        <v>1948</v>
      </c>
      <c r="W327" s="100" t="s">
        <v>1384</v>
      </c>
      <c r="X327" s="97">
        <v>33.01</v>
      </c>
      <c r="Y327" s="99">
        <v>25</v>
      </c>
      <c r="Z327" s="99">
        <v>25.06</v>
      </c>
      <c r="AA327" s="61"/>
      <c r="AB327" s="18"/>
      <c r="AC327" s="19"/>
      <c r="AD327" s="19"/>
      <c r="AE327" s="19"/>
      <c r="AF327" s="114"/>
      <c r="AG327" s="114"/>
      <c r="AH327" s="114"/>
    </row>
    <row r="328" spans="1:34">
      <c r="A328" s="9" t="s">
        <v>995</v>
      </c>
      <c r="B328" s="9" t="s">
        <v>996</v>
      </c>
      <c r="C328" s="9" t="s">
        <v>997</v>
      </c>
      <c r="D328" s="9" t="s">
        <v>1040</v>
      </c>
      <c r="E328" s="96"/>
      <c r="F328" s="9" t="s">
        <v>999</v>
      </c>
      <c r="G328" s="13" t="s">
        <v>1000</v>
      </c>
      <c r="H328" s="9" t="s">
        <v>1001</v>
      </c>
      <c r="I328" s="11" t="s">
        <v>1389</v>
      </c>
      <c r="J328" s="10" t="s">
        <v>1363</v>
      </c>
      <c r="K328" s="9" t="s">
        <v>1364</v>
      </c>
      <c r="L328" s="9">
        <v>13401493899</v>
      </c>
      <c r="M328" s="11" t="s">
        <v>1398</v>
      </c>
      <c r="N328" s="10" t="s">
        <v>1373</v>
      </c>
      <c r="O328" s="9" t="s">
        <v>1374</v>
      </c>
      <c r="P328" s="9">
        <v>15223466629</v>
      </c>
      <c r="Q328" s="10" t="s">
        <v>1401</v>
      </c>
      <c r="R328" s="10" t="s">
        <v>1373</v>
      </c>
      <c r="S328" s="57" t="s">
        <v>1973</v>
      </c>
      <c r="T328" s="57" t="s">
        <v>1386</v>
      </c>
      <c r="U328" s="64" t="s">
        <v>1974</v>
      </c>
      <c r="V328" s="101" t="s">
        <v>1761</v>
      </c>
      <c r="W328" s="100" t="s">
        <v>1387</v>
      </c>
      <c r="X328" s="97">
        <v>119.34</v>
      </c>
      <c r="Y328" s="99">
        <v>108.2</v>
      </c>
      <c r="Z328" s="99">
        <v>102.74</v>
      </c>
      <c r="AA328" s="61"/>
      <c r="AB328" s="18"/>
      <c r="AC328" s="19"/>
      <c r="AD328" s="19"/>
      <c r="AE328" s="19"/>
      <c r="AF328" s="114"/>
      <c r="AG328" s="114"/>
      <c r="AH328" s="114"/>
    </row>
    <row r="329" spans="1:34">
      <c r="A329" s="9" t="s">
        <v>995</v>
      </c>
      <c r="B329" s="9" t="s">
        <v>996</v>
      </c>
      <c r="C329" s="9" t="s">
        <v>997</v>
      </c>
      <c r="D329" s="9" t="s">
        <v>1388</v>
      </c>
      <c r="E329" s="96"/>
      <c r="F329" s="9" t="s">
        <v>999</v>
      </c>
      <c r="G329" s="13" t="s">
        <v>1000</v>
      </c>
      <c r="H329" s="9" t="s">
        <v>1001</v>
      </c>
      <c r="I329" s="11" t="s">
        <v>1389</v>
      </c>
      <c r="J329" s="10" t="s">
        <v>1363</v>
      </c>
      <c r="K329" s="9" t="s">
        <v>1364</v>
      </c>
      <c r="L329" s="9">
        <v>13401493899</v>
      </c>
      <c r="M329" s="11" t="s">
        <v>1404</v>
      </c>
      <c r="N329" s="10" t="s">
        <v>1392</v>
      </c>
      <c r="O329" s="9" t="s">
        <v>1975</v>
      </c>
      <c r="P329" s="9">
        <v>13508284663</v>
      </c>
      <c r="Q329" s="10" t="s">
        <v>1407</v>
      </c>
      <c r="R329" s="10" t="s">
        <v>1392</v>
      </c>
      <c r="S329" s="57" t="s">
        <v>1408</v>
      </c>
      <c r="T329" s="57" t="s">
        <v>1396</v>
      </c>
      <c r="U329" s="100" t="s">
        <v>1976</v>
      </c>
      <c r="V329" s="101" t="s">
        <v>1765</v>
      </c>
      <c r="W329" s="100" t="s">
        <v>1397</v>
      </c>
      <c r="X329" s="97">
        <v>871.22</v>
      </c>
      <c r="Y329" s="99">
        <v>871.41</v>
      </c>
      <c r="Z329" s="99">
        <v>845.55</v>
      </c>
      <c r="AA329" s="61" t="s">
        <v>1420</v>
      </c>
      <c r="AB329" s="18"/>
      <c r="AC329" s="19"/>
      <c r="AD329" s="19"/>
      <c r="AE329" s="19"/>
      <c r="AF329" s="114"/>
      <c r="AG329" s="114"/>
      <c r="AH329" s="114"/>
    </row>
    <row r="330" spans="1:34">
      <c r="A330" s="9" t="s">
        <v>995</v>
      </c>
      <c r="B330" s="9" t="s">
        <v>996</v>
      </c>
      <c r="C330" s="9" t="s">
        <v>997</v>
      </c>
      <c r="D330" s="9" t="s">
        <v>1388</v>
      </c>
      <c r="E330" s="96"/>
      <c r="F330" s="9" t="s">
        <v>999</v>
      </c>
      <c r="G330" s="13" t="s">
        <v>1000</v>
      </c>
      <c r="H330" s="9" t="s">
        <v>1001</v>
      </c>
      <c r="I330" s="11" t="s">
        <v>1389</v>
      </c>
      <c r="J330" s="10" t="s">
        <v>1363</v>
      </c>
      <c r="K330" s="9" t="s">
        <v>1364</v>
      </c>
      <c r="L330" s="9">
        <v>13401493899</v>
      </c>
      <c r="M330" s="11" t="s">
        <v>1977</v>
      </c>
      <c r="N330" s="10" t="s">
        <v>1399</v>
      </c>
      <c r="O330" s="9" t="s">
        <v>1978</v>
      </c>
      <c r="P330" s="9">
        <v>15397693882</v>
      </c>
      <c r="Q330" s="10" t="s">
        <v>1979</v>
      </c>
      <c r="R330" s="10" t="s">
        <v>1399</v>
      </c>
      <c r="S330" s="57" t="s">
        <v>1980</v>
      </c>
      <c r="T330" s="57" t="s">
        <v>1403</v>
      </c>
      <c r="U330" s="100" t="s">
        <v>1976</v>
      </c>
      <c r="V330" s="101" t="s">
        <v>1765</v>
      </c>
      <c r="W330" s="100" t="s">
        <v>1397</v>
      </c>
      <c r="X330" s="97">
        <v>685.44</v>
      </c>
      <c r="Y330" s="99">
        <v>686.65</v>
      </c>
      <c r="Z330" s="99">
        <v>654.32</v>
      </c>
      <c r="AA330" s="61" t="s">
        <v>1420</v>
      </c>
      <c r="AB330" s="18"/>
      <c r="AC330" s="19"/>
      <c r="AD330" s="19"/>
      <c r="AE330" s="19"/>
    </row>
    <row r="331" spans="1:34">
      <c r="A331" s="9" t="s">
        <v>995</v>
      </c>
      <c r="B331" s="9" t="s">
        <v>996</v>
      </c>
      <c r="C331" s="9" t="s">
        <v>997</v>
      </c>
      <c r="D331" s="9" t="s">
        <v>1388</v>
      </c>
      <c r="E331" s="96"/>
      <c r="F331" s="9" t="s">
        <v>999</v>
      </c>
      <c r="G331" s="13" t="s">
        <v>1000</v>
      </c>
      <c r="H331" s="9" t="s">
        <v>1001</v>
      </c>
      <c r="I331" s="11" t="s">
        <v>1389</v>
      </c>
      <c r="J331" s="10" t="s">
        <v>1363</v>
      </c>
      <c r="K331" s="9" t="s">
        <v>1364</v>
      </c>
      <c r="L331" s="9">
        <v>13401493899</v>
      </c>
      <c r="M331" s="11" t="s">
        <v>1981</v>
      </c>
      <c r="N331" s="10" t="s">
        <v>1405</v>
      </c>
      <c r="O331" s="9" t="s">
        <v>1406</v>
      </c>
      <c r="P331" s="9">
        <v>15823774351</v>
      </c>
      <c r="Q331" s="10" t="s">
        <v>1982</v>
      </c>
      <c r="R331" s="10" t="s">
        <v>1405</v>
      </c>
      <c r="S331" s="57" t="s">
        <v>1983</v>
      </c>
      <c r="T331" s="57" t="s">
        <v>1409</v>
      </c>
      <c r="U331" s="100" t="s">
        <v>1976</v>
      </c>
      <c r="V331" s="9" t="s">
        <v>1984</v>
      </c>
      <c r="W331" s="100" t="s">
        <v>1397</v>
      </c>
      <c r="X331" s="97">
        <v>705.5</v>
      </c>
      <c r="Y331" s="99">
        <v>717.21</v>
      </c>
      <c r="Z331" s="99">
        <v>670.3</v>
      </c>
      <c r="AA331" s="61"/>
      <c r="AB331" s="18"/>
      <c r="AC331" s="19"/>
      <c r="AD331" s="19"/>
      <c r="AE331" s="19"/>
    </row>
    <row r="332" spans="1:34">
      <c r="A332" s="13" t="s">
        <v>933</v>
      </c>
      <c r="B332" s="13" t="s">
        <v>934</v>
      </c>
      <c r="C332" s="13" t="s">
        <v>935</v>
      </c>
      <c r="D332" s="54" t="s">
        <v>936</v>
      </c>
      <c r="E332" s="55"/>
      <c r="F332" s="13" t="s">
        <v>937</v>
      </c>
      <c r="G332" s="13" t="s">
        <v>938</v>
      </c>
      <c r="H332" s="13" t="s">
        <v>939</v>
      </c>
      <c r="I332" s="11" t="s">
        <v>941</v>
      </c>
      <c r="J332" s="54" t="s">
        <v>942</v>
      </c>
      <c r="K332" s="13" t="s">
        <v>943</v>
      </c>
      <c r="L332" s="13">
        <v>17396789716</v>
      </c>
      <c r="M332" s="11" t="s">
        <v>944</v>
      </c>
      <c r="N332" s="54" t="s">
        <v>945</v>
      </c>
      <c r="O332" s="13" t="s">
        <v>946</v>
      </c>
      <c r="P332" s="13">
        <v>19177675756</v>
      </c>
      <c r="Q332" s="54" t="s">
        <v>947</v>
      </c>
      <c r="R332" s="54" t="s">
        <v>945</v>
      </c>
      <c r="S332" s="57" t="s">
        <v>949</v>
      </c>
      <c r="T332" s="57" t="s">
        <v>948</v>
      </c>
      <c r="U332" s="119" t="s">
        <v>1985</v>
      </c>
      <c r="V332" s="120" t="s">
        <v>1986</v>
      </c>
      <c r="W332" s="119" t="s">
        <v>951</v>
      </c>
      <c r="X332" s="121" t="s">
        <v>1987</v>
      </c>
      <c r="Y332" s="60">
        <v>207.79</v>
      </c>
      <c r="Z332" s="60">
        <v>200.45</v>
      </c>
      <c r="AA332" s="61" t="s">
        <v>1420</v>
      </c>
      <c r="AB332" s="18"/>
      <c r="AC332" s="19"/>
      <c r="AD332" s="19"/>
      <c r="AE332" s="19"/>
    </row>
    <row r="333" spans="1:34">
      <c r="A333" s="13" t="s">
        <v>933</v>
      </c>
      <c r="B333" s="13" t="s">
        <v>934</v>
      </c>
      <c r="C333" s="13" t="s">
        <v>935</v>
      </c>
      <c r="D333" s="54" t="s">
        <v>936</v>
      </c>
      <c r="E333" s="55"/>
      <c r="F333" s="13" t="s">
        <v>937</v>
      </c>
      <c r="G333" s="13" t="s">
        <v>938</v>
      </c>
      <c r="H333" s="13" t="s">
        <v>939</v>
      </c>
      <c r="I333" s="11" t="s">
        <v>941</v>
      </c>
      <c r="J333" s="54" t="s">
        <v>942</v>
      </c>
      <c r="K333" s="13" t="s">
        <v>943</v>
      </c>
      <c r="L333" s="13">
        <v>17396789716</v>
      </c>
      <c r="M333" s="11" t="s">
        <v>944</v>
      </c>
      <c r="N333" s="54" t="s">
        <v>945</v>
      </c>
      <c r="O333" s="13" t="s">
        <v>946</v>
      </c>
      <c r="P333" s="13">
        <v>19177675756</v>
      </c>
      <c r="Q333" s="54" t="s">
        <v>947</v>
      </c>
      <c r="R333" s="54" t="s">
        <v>945</v>
      </c>
      <c r="S333" s="57" t="s">
        <v>1988</v>
      </c>
      <c r="T333" s="57" t="s">
        <v>953</v>
      </c>
      <c r="U333" s="119" t="s">
        <v>1985</v>
      </c>
      <c r="V333" s="120" t="s">
        <v>1986</v>
      </c>
      <c r="W333" s="119" t="s">
        <v>951</v>
      </c>
      <c r="X333" s="121" t="s">
        <v>1987</v>
      </c>
      <c r="Y333" s="60">
        <v>11.43</v>
      </c>
      <c r="Z333" s="60">
        <v>10.41</v>
      </c>
      <c r="AA333" s="61" t="s">
        <v>1420</v>
      </c>
      <c r="AB333" s="18"/>
      <c r="AC333" s="19"/>
      <c r="AD333" s="19"/>
      <c r="AE333" s="19"/>
    </row>
    <row r="334" spans="1:34">
      <c r="A334" s="13" t="s">
        <v>933</v>
      </c>
      <c r="B334" s="13" t="s">
        <v>934</v>
      </c>
      <c r="C334" s="13" t="s">
        <v>935</v>
      </c>
      <c r="D334" s="54" t="s">
        <v>936</v>
      </c>
      <c r="E334" s="55"/>
      <c r="F334" s="13" t="s">
        <v>937</v>
      </c>
      <c r="G334" s="13" t="s">
        <v>938</v>
      </c>
      <c r="H334" s="13" t="s">
        <v>939</v>
      </c>
      <c r="I334" s="11" t="s">
        <v>941</v>
      </c>
      <c r="J334" s="54" t="s">
        <v>942</v>
      </c>
      <c r="K334" s="13" t="s">
        <v>943</v>
      </c>
      <c r="L334" s="13">
        <v>17396789716</v>
      </c>
      <c r="M334" s="11" t="s">
        <v>944</v>
      </c>
      <c r="N334" s="54" t="s">
        <v>945</v>
      </c>
      <c r="O334" s="13" t="s">
        <v>946</v>
      </c>
      <c r="P334" s="13">
        <v>19177675756</v>
      </c>
      <c r="Q334" s="54" t="s">
        <v>947</v>
      </c>
      <c r="R334" s="54" t="s">
        <v>945</v>
      </c>
      <c r="S334" s="57" t="s">
        <v>1989</v>
      </c>
      <c r="T334" s="57" t="s">
        <v>957</v>
      </c>
      <c r="U334" s="119" t="s">
        <v>1985</v>
      </c>
      <c r="V334" s="120" t="s">
        <v>1986</v>
      </c>
      <c r="W334" s="119" t="s">
        <v>951</v>
      </c>
      <c r="X334" s="121" t="s">
        <v>1987</v>
      </c>
      <c r="Y334" s="60">
        <v>24</v>
      </c>
      <c r="Z334" s="60">
        <v>22.03</v>
      </c>
      <c r="AA334" s="61" t="s">
        <v>1420</v>
      </c>
      <c r="AB334" s="18"/>
      <c r="AC334" s="19"/>
      <c r="AD334" s="19"/>
      <c r="AE334" s="19"/>
    </row>
    <row r="335" spans="1:34">
      <c r="A335" s="13" t="s">
        <v>933</v>
      </c>
      <c r="B335" s="13" t="s">
        <v>934</v>
      </c>
      <c r="C335" s="13" t="s">
        <v>935</v>
      </c>
      <c r="D335" s="54" t="s">
        <v>936</v>
      </c>
      <c r="E335" s="55"/>
      <c r="F335" s="13" t="s">
        <v>937</v>
      </c>
      <c r="G335" s="13" t="s">
        <v>938</v>
      </c>
      <c r="H335" s="13" t="s">
        <v>939</v>
      </c>
      <c r="I335" s="11" t="s">
        <v>941</v>
      </c>
      <c r="J335" s="54" t="s">
        <v>942</v>
      </c>
      <c r="K335" s="13" t="s">
        <v>943</v>
      </c>
      <c r="L335" s="13">
        <v>17396789716</v>
      </c>
      <c r="M335" s="11" t="s">
        <v>944</v>
      </c>
      <c r="N335" s="54" t="s">
        <v>945</v>
      </c>
      <c r="O335" s="13" t="s">
        <v>946</v>
      </c>
      <c r="P335" s="13">
        <v>19177675756</v>
      </c>
      <c r="Q335" s="54" t="s">
        <v>947</v>
      </c>
      <c r="R335" s="54" t="s">
        <v>945</v>
      </c>
      <c r="S335" s="57" t="s">
        <v>1990</v>
      </c>
      <c r="T335" s="57" t="s">
        <v>961</v>
      </c>
      <c r="U335" s="119" t="s">
        <v>1985</v>
      </c>
      <c r="V335" s="120" t="s">
        <v>1986</v>
      </c>
      <c r="W335" s="119" t="s">
        <v>951</v>
      </c>
      <c r="X335" s="121" t="s">
        <v>1987</v>
      </c>
      <c r="Y335" s="60">
        <v>54.65</v>
      </c>
      <c r="Z335" s="60">
        <v>53.23</v>
      </c>
      <c r="AA335" s="61" t="s">
        <v>1420</v>
      </c>
      <c r="AB335" s="18"/>
      <c r="AC335" s="19"/>
      <c r="AD335" s="19"/>
      <c r="AE335" s="19"/>
    </row>
    <row r="336" spans="1:34">
      <c r="A336" s="13" t="s">
        <v>933</v>
      </c>
      <c r="B336" s="13" t="s">
        <v>934</v>
      </c>
      <c r="C336" s="13" t="s">
        <v>935</v>
      </c>
      <c r="D336" s="54" t="s">
        <v>936</v>
      </c>
      <c r="E336" s="55"/>
      <c r="F336" s="13" t="s">
        <v>937</v>
      </c>
      <c r="G336" s="13" t="s">
        <v>938</v>
      </c>
      <c r="H336" s="13" t="s">
        <v>939</v>
      </c>
      <c r="I336" s="11" t="s">
        <v>941</v>
      </c>
      <c r="J336" s="54" t="s">
        <v>942</v>
      </c>
      <c r="K336" s="13" t="s">
        <v>943</v>
      </c>
      <c r="L336" s="13">
        <v>17396789716</v>
      </c>
      <c r="M336" s="11" t="s">
        <v>944</v>
      </c>
      <c r="N336" s="54" t="s">
        <v>945</v>
      </c>
      <c r="O336" s="13" t="s">
        <v>946</v>
      </c>
      <c r="P336" s="13">
        <v>19177675756</v>
      </c>
      <c r="Q336" s="54" t="s">
        <v>947</v>
      </c>
      <c r="R336" s="54" t="s">
        <v>945</v>
      </c>
      <c r="S336" s="57" t="s">
        <v>1991</v>
      </c>
      <c r="T336" s="57" t="s">
        <v>965</v>
      </c>
      <c r="U336" s="119" t="s">
        <v>1985</v>
      </c>
      <c r="V336" s="120" t="s">
        <v>1992</v>
      </c>
      <c r="W336" s="119" t="s">
        <v>951</v>
      </c>
      <c r="X336" s="121" t="s">
        <v>1987</v>
      </c>
      <c r="Y336" s="60">
        <v>33.8</v>
      </c>
      <c r="Z336" s="60">
        <v>32.52</v>
      </c>
      <c r="AA336" s="61" t="s">
        <v>1420</v>
      </c>
      <c r="AB336" s="18"/>
      <c r="AC336" s="19"/>
      <c r="AD336" s="19"/>
      <c r="AE336" s="19"/>
    </row>
    <row r="337" spans="1:34">
      <c r="A337" s="13" t="s">
        <v>933</v>
      </c>
      <c r="B337" s="13" t="s">
        <v>934</v>
      </c>
      <c r="C337" s="13" t="s">
        <v>935</v>
      </c>
      <c r="D337" s="54" t="s">
        <v>936</v>
      </c>
      <c r="E337" s="55"/>
      <c r="F337" s="13" t="s">
        <v>937</v>
      </c>
      <c r="G337" s="13" t="s">
        <v>938</v>
      </c>
      <c r="H337" s="13" t="s">
        <v>939</v>
      </c>
      <c r="I337" s="11" t="s">
        <v>941</v>
      </c>
      <c r="J337" s="54" t="s">
        <v>942</v>
      </c>
      <c r="K337" s="13" t="s">
        <v>943</v>
      </c>
      <c r="L337" s="13">
        <v>17396789716</v>
      </c>
      <c r="M337" s="11" t="s">
        <v>944</v>
      </c>
      <c r="N337" s="54" t="s">
        <v>945</v>
      </c>
      <c r="O337" s="13" t="s">
        <v>946</v>
      </c>
      <c r="P337" s="13">
        <v>19177675756</v>
      </c>
      <c r="Q337" s="54" t="s">
        <v>947</v>
      </c>
      <c r="R337" s="54" t="s">
        <v>945</v>
      </c>
      <c r="S337" s="57" t="s">
        <v>1993</v>
      </c>
      <c r="T337" s="57" t="s">
        <v>969</v>
      </c>
      <c r="U337" s="119" t="s">
        <v>1985</v>
      </c>
      <c r="V337" s="120" t="s">
        <v>1992</v>
      </c>
      <c r="W337" s="119" t="s">
        <v>951</v>
      </c>
      <c r="X337" s="121" t="s">
        <v>1987</v>
      </c>
      <c r="Y337" s="60">
        <v>200.85</v>
      </c>
      <c r="Z337" s="60">
        <v>191.52</v>
      </c>
      <c r="AA337" s="61" t="s">
        <v>1420</v>
      </c>
      <c r="AB337" s="18"/>
      <c r="AC337" s="19"/>
      <c r="AD337" s="19"/>
      <c r="AE337" s="19"/>
    </row>
    <row r="338" spans="1:34">
      <c r="A338" s="13" t="s">
        <v>933</v>
      </c>
      <c r="B338" s="13" t="s">
        <v>934</v>
      </c>
      <c r="C338" s="13" t="s">
        <v>935</v>
      </c>
      <c r="D338" s="54" t="s">
        <v>936</v>
      </c>
      <c r="E338" s="55"/>
      <c r="F338" s="13" t="s">
        <v>937</v>
      </c>
      <c r="G338" s="13" t="s">
        <v>938</v>
      </c>
      <c r="H338" s="13" t="s">
        <v>939</v>
      </c>
      <c r="I338" s="11" t="s">
        <v>941</v>
      </c>
      <c r="J338" s="54" t="s">
        <v>942</v>
      </c>
      <c r="K338" s="13" t="s">
        <v>943</v>
      </c>
      <c r="L338" s="13">
        <v>17396789716</v>
      </c>
      <c r="M338" s="11" t="s">
        <v>944</v>
      </c>
      <c r="N338" s="54" t="s">
        <v>945</v>
      </c>
      <c r="O338" s="13" t="s">
        <v>946</v>
      </c>
      <c r="P338" s="13">
        <v>19177675756</v>
      </c>
      <c r="Q338" s="54" t="s">
        <v>947</v>
      </c>
      <c r="R338" s="54" t="s">
        <v>945</v>
      </c>
      <c r="S338" s="57" t="s">
        <v>1994</v>
      </c>
      <c r="T338" s="57" t="s">
        <v>973</v>
      </c>
      <c r="U338" s="119" t="s">
        <v>1985</v>
      </c>
      <c r="V338" s="120" t="s">
        <v>1992</v>
      </c>
      <c r="W338" s="119" t="s">
        <v>951</v>
      </c>
      <c r="X338" s="84">
        <v>637</v>
      </c>
      <c r="Y338" s="60">
        <v>13.32</v>
      </c>
      <c r="Z338" s="60">
        <v>13.18</v>
      </c>
      <c r="AA338" s="61" t="s">
        <v>1420</v>
      </c>
      <c r="AB338" s="18"/>
      <c r="AC338" s="19"/>
      <c r="AD338" s="19"/>
      <c r="AE338" s="19"/>
    </row>
    <row r="339" spans="1:34">
      <c r="A339" s="13" t="s">
        <v>933</v>
      </c>
      <c r="B339" s="13" t="s">
        <v>934</v>
      </c>
      <c r="C339" s="13" t="s">
        <v>935</v>
      </c>
      <c r="D339" s="54" t="s">
        <v>936</v>
      </c>
      <c r="E339" s="55"/>
      <c r="F339" s="13" t="s">
        <v>937</v>
      </c>
      <c r="G339" s="13" t="s">
        <v>938</v>
      </c>
      <c r="H339" s="13" t="s">
        <v>939</v>
      </c>
      <c r="I339" s="11" t="s">
        <v>941</v>
      </c>
      <c r="J339" s="54" t="s">
        <v>942</v>
      </c>
      <c r="K339" s="13" t="s">
        <v>943</v>
      </c>
      <c r="L339" s="13">
        <v>17396789716</v>
      </c>
      <c r="M339" s="11" t="s">
        <v>944</v>
      </c>
      <c r="N339" s="54" t="s">
        <v>945</v>
      </c>
      <c r="O339" s="13" t="s">
        <v>946</v>
      </c>
      <c r="P339" s="13">
        <v>19177675756</v>
      </c>
      <c r="Q339" s="54" t="s">
        <v>947</v>
      </c>
      <c r="R339" s="54" t="s">
        <v>945</v>
      </c>
      <c r="S339" s="57" t="s">
        <v>1995</v>
      </c>
      <c r="T339" s="57" t="s">
        <v>977</v>
      </c>
      <c r="U339" s="119" t="s">
        <v>1985</v>
      </c>
      <c r="V339" s="120" t="s">
        <v>1992</v>
      </c>
      <c r="W339" s="119" t="s">
        <v>951</v>
      </c>
      <c r="X339" s="84">
        <v>637</v>
      </c>
      <c r="Y339" s="60">
        <v>66.69</v>
      </c>
      <c r="Z339" s="60">
        <v>65.4</v>
      </c>
      <c r="AA339" s="61" t="s">
        <v>1420</v>
      </c>
      <c r="AB339" s="18"/>
      <c r="AC339" s="19"/>
      <c r="AD339" s="19"/>
      <c r="AE339" s="19"/>
    </row>
    <row r="340" spans="1:34">
      <c r="A340" s="13" t="s">
        <v>933</v>
      </c>
      <c r="B340" s="13" t="s">
        <v>934</v>
      </c>
      <c r="C340" s="13" t="s">
        <v>935</v>
      </c>
      <c r="D340" s="54" t="s">
        <v>936</v>
      </c>
      <c r="E340" s="55"/>
      <c r="F340" s="13" t="s">
        <v>937</v>
      </c>
      <c r="G340" s="13" t="s">
        <v>938</v>
      </c>
      <c r="H340" s="13" t="s">
        <v>939</v>
      </c>
      <c r="I340" s="11" t="s">
        <v>941</v>
      </c>
      <c r="J340" s="54" t="s">
        <v>942</v>
      </c>
      <c r="K340" s="13" t="s">
        <v>943</v>
      </c>
      <c r="L340" s="13">
        <v>17396789716</v>
      </c>
      <c r="M340" s="11" t="s">
        <v>944</v>
      </c>
      <c r="N340" s="54" t="s">
        <v>945</v>
      </c>
      <c r="O340" s="13" t="s">
        <v>946</v>
      </c>
      <c r="P340" s="13">
        <v>19177675756</v>
      </c>
      <c r="Q340" s="54" t="s">
        <v>947</v>
      </c>
      <c r="R340" s="54" t="s">
        <v>945</v>
      </c>
      <c r="S340" s="57" t="s">
        <v>1996</v>
      </c>
      <c r="T340" s="57" t="s">
        <v>981</v>
      </c>
      <c r="U340" s="119" t="s">
        <v>1985</v>
      </c>
      <c r="V340" s="120" t="s">
        <v>1992</v>
      </c>
      <c r="W340" s="119" t="s">
        <v>951</v>
      </c>
      <c r="X340" s="84">
        <v>637</v>
      </c>
      <c r="Y340" s="60">
        <v>20.5</v>
      </c>
      <c r="Z340" s="60">
        <v>20.35</v>
      </c>
      <c r="AA340" s="61" t="s">
        <v>1420</v>
      </c>
      <c r="AB340" s="18"/>
      <c r="AC340" s="19"/>
      <c r="AD340" s="19"/>
      <c r="AE340" s="19"/>
    </row>
    <row r="341" ht="18" customHeight="1" spans="1:34">
      <c r="A341" s="13" t="s">
        <v>933</v>
      </c>
      <c r="B341" s="13" t="s">
        <v>934</v>
      </c>
      <c r="C341" s="13" t="s">
        <v>984</v>
      </c>
      <c r="D341" s="54" t="s">
        <v>985</v>
      </c>
      <c r="E341" s="55"/>
      <c r="F341" s="13" t="s">
        <v>937</v>
      </c>
      <c r="G341" s="13" t="s">
        <v>938</v>
      </c>
      <c r="H341" s="13" t="s">
        <v>939</v>
      </c>
      <c r="I341" s="11" t="s">
        <v>986</v>
      </c>
      <c r="J341" s="54" t="s">
        <v>987</v>
      </c>
      <c r="K341" s="13"/>
      <c r="L341" s="13"/>
      <c r="M341" s="11" t="s">
        <v>988</v>
      </c>
      <c r="N341" s="54" t="s">
        <v>989</v>
      </c>
      <c r="O341" s="13"/>
      <c r="P341" s="13"/>
      <c r="Q341" s="54" t="s">
        <v>990</v>
      </c>
      <c r="R341" s="54" t="s">
        <v>989</v>
      </c>
      <c r="S341" s="57" t="s">
        <v>992</v>
      </c>
      <c r="T341" s="57" t="s">
        <v>989</v>
      </c>
      <c r="U341" s="119" t="s">
        <v>1997</v>
      </c>
      <c r="V341" s="120"/>
      <c r="W341" s="119" t="s">
        <v>994</v>
      </c>
      <c r="X341" s="59">
        <v>882</v>
      </c>
      <c r="Y341" s="60">
        <v>882.05</v>
      </c>
      <c r="Z341" s="60">
        <v>835.85</v>
      </c>
      <c r="AA341" s="61" t="s">
        <v>1420</v>
      </c>
      <c r="AB341" s="18"/>
      <c r="AC341" s="19"/>
      <c r="AD341" s="19"/>
      <c r="AE341" s="19"/>
    </row>
    <row r="342" s="34" customFormat="1" spans="1:34">
      <c r="A342" s="13" t="s">
        <v>1998</v>
      </c>
      <c r="B342" s="13" t="s">
        <v>1999</v>
      </c>
      <c r="C342" s="13" t="s">
        <v>2000</v>
      </c>
      <c r="D342" s="54" t="s">
        <v>2001</v>
      </c>
      <c r="E342" s="9" t="s">
        <v>2001</v>
      </c>
      <c r="F342" s="13" t="s">
        <v>2002</v>
      </c>
      <c r="G342" s="13" t="s">
        <v>2003</v>
      </c>
      <c r="H342" s="13" t="s">
        <v>2004</v>
      </c>
      <c r="I342" s="11" t="s">
        <v>2005</v>
      </c>
      <c r="J342" s="10" t="s">
        <v>1004</v>
      </c>
      <c r="K342" s="9" t="s">
        <v>2006</v>
      </c>
      <c r="L342" s="9">
        <v>13896876576</v>
      </c>
      <c r="M342" s="11" t="s">
        <v>2007</v>
      </c>
      <c r="N342" s="10" t="s">
        <v>2008</v>
      </c>
      <c r="O342" s="9" t="s">
        <v>2006</v>
      </c>
      <c r="P342" s="9">
        <v>13896876570</v>
      </c>
      <c r="Q342" s="10" t="s">
        <v>2009</v>
      </c>
      <c r="R342" s="10" t="s">
        <v>2008</v>
      </c>
      <c r="S342" s="57" t="s">
        <v>2010</v>
      </c>
      <c r="T342" s="57" t="s">
        <v>2011</v>
      </c>
      <c r="U342" s="64" t="s">
        <v>2012</v>
      </c>
      <c r="V342" s="9" t="s">
        <v>2013</v>
      </c>
      <c r="W342" s="64" t="s">
        <v>2014</v>
      </c>
      <c r="X342" s="67"/>
      <c r="Y342" s="98"/>
      <c r="Z342" s="98"/>
      <c r="AA342" s="61"/>
      <c r="AB342" s="18"/>
      <c r="AC342" s="19"/>
      <c r="AD342" s="19"/>
      <c r="AE342" s="19"/>
      <c r="AF342" s="114"/>
      <c r="AG342" s="114"/>
      <c r="AH342" s="114"/>
    </row>
    <row r="343" s="34" customFormat="1" spans="1:34">
      <c r="A343" s="13" t="s">
        <v>1998</v>
      </c>
      <c r="B343" s="13" t="s">
        <v>1999</v>
      </c>
      <c r="C343" s="13" t="s">
        <v>2000</v>
      </c>
      <c r="D343" s="54" t="s">
        <v>2001</v>
      </c>
      <c r="E343" s="9" t="s">
        <v>2001</v>
      </c>
      <c r="F343" s="13" t="s">
        <v>2002</v>
      </c>
      <c r="G343" s="13" t="s">
        <v>2003</v>
      </c>
      <c r="H343" s="13" t="s">
        <v>2004</v>
      </c>
      <c r="I343" s="11" t="s">
        <v>2015</v>
      </c>
      <c r="J343" s="10" t="s">
        <v>2016</v>
      </c>
      <c r="K343" s="9" t="s">
        <v>2006</v>
      </c>
      <c r="L343" s="9">
        <v>13896876576</v>
      </c>
      <c r="M343" s="11" t="s">
        <v>2017</v>
      </c>
      <c r="N343" s="10" t="s">
        <v>2018</v>
      </c>
      <c r="O343" s="9" t="s">
        <v>2006</v>
      </c>
      <c r="P343" s="9">
        <v>13896876570</v>
      </c>
      <c r="Q343" s="10" t="s">
        <v>2019</v>
      </c>
      <c r="R343" s="10" t="s">
        <v>2018</v>
      </c>
      <c r="S343" s="57" t="s">
        <v>2020</v>
      </c>
      <c r="T343" s="57" t="s">
        <v>2021</v>
      </c>
      <c r="U343" s="64" t="s">
        <v>2022</v>
      </c>
      <c r="V343" s="9" t="s">
        <v>2023</v>
      </c>
      <c r="W343" s="64" t="s">
        <v>2024</v>
      </c>
      <c r="X343" s="67"/>
      <c r="Y343" s="98"/>
      <c r="Z343" s="98"/>
      <c r="AA343" s="61"/>
      <c r="AB343" s="18"/>
      <c r="AC343" s="19"/>
      <c r="AD343" s="19"/>
      <c r="AE343" s="19"/>
      <c r="AF343" s="114"/>
      <c r="AG343" s="114"/>
      <c r="AH343" s="114"/>
    </row>
    <row r="344" s="34" customFormat="1" spans="1:34">
      <c r="A344" s="13" t="s">
        <v>1998</v>
      </c>
      <c r="B344" s="13" t="s">
        <v>1999</v>
      </c>
      <c r="C344" s="13" t="s">
        <v>2000</v>
      </c>
      <c r="D344" s="54" t="s">
        <v>2001</v>
      </c>
      <c r="E344" s="9" t="s">
        <v>2001</v>
      </c>
      <c r="F344" s="13" t="s">
        <v>2002</v>
      </c>
      <c r="G344" s="13" t="s">
        <v>2003</v>
      </c>
      <c r="H344" s="13" t="s">
        <v>2004</v>
      </c>
      <c r="I344" s="11" t="s">
        <v>2015</v>
      </c>
      <c r="J344" s="10" t="s">
        <v>2016</v>
      </c>
      <c r="K344" s="9" t="s">
        <v>2006</v>
      </c>
      <c r="L344" s="9">
        <v>13896876576</v>
      </c>
      <c r="M344" s="11" t="s">
        <v>2017</v>
      </c>
      <c r="N344" s="10" t="s">
        <v>2018</v>
      </c>
      <c r="O344" s="9" t="s">
        <v>2006</v>
      </c>
      <c r="P344" s="9">
        <v>13896876570</v>
      </c>
      <c r="Q344" s="10" t="s">
        <v>2019</v>
      </c>
      <c r="R344" s="10" t="s">
        <v>2018</v>
      </c>
      <c r="S344" s="57" t="s">
        <v>2025</v>
      </c>
      <c r="T344" s="57" t="s">
        <v>2026</v>
      </c>
      <c r="U344" s="64" t="s">
        <v>2022</v>
      </c>
      <c r="V344" s="9" t="s">
        <v>2023</v>
      </c>
      <c r="W344" s="64" t="s">
        <v>2027</v>
      </c>
      <c r="X344" s="67"/>
      <c r="Y344" s="98"/>
      <c r="Z344" s="98"/>
      <c r="AA344" s="61"/>
      <c r="AB344" s="18"/>
      <c r="AC344" s="19"/>
      <c r="AD344" s="19"/>
      <c r="AE344" s="19"/>
      <c r="AF344" s="115"/>
      <c r="AG344" s="114"/>
      <c r="AH344" s="114"/>
    </row>
    <row r="345" s="34" customFormat="1" spans="1:34">
      <c r="A345" s="13" t="s">
        <v>1998</v>
      </c>
      <c r="B345" s="13" t="s">
        <v>1999</v>
      </c>
      <c r="C345" s="13" t="s">
        <v>2000</v>
      </c>
      <c r="D345" s="54" t="s">
        <v>2001</v>
      </c>
      <c r="E345" s="9" t="s">
        <v>2001</v>
      </c>
      <c r="F345" s="13" t="s">
        <v>2002</v>
      </c>
      <c r="G345" s="13" t="s">
        <v>2003</v>
      </c>
      <c r="H345" s="13" t="s">
        <v>2004</v>
      </c>
      <c r="I345" s="11" t="s">
        <v>2015</v>
      </c>
      <c r="J345" s="10" t="s">
        <v>2016</v>
      </c>
      <c r="K345" s="9" t="s">
        <v>2006</v>
      </c>
      <c r="L345" s="9">
        <v>13896876576</v>
      </c>
      <c r="M345" s="11" t="s">
        <v>2017</v>
      </c>
      <c r="N345" s="10" t="s">
        <v>2018</v>
      </c>
      <c r="O345" s="9" t="s">
        <v>2006</v>
      </c>
      <c r="P345" s="9">
        <v>13896876570</v>
      </c>
      <c r="Q345" s="10" t="s">
        <v>2019</v>
      </c>
      <c r="R345" s="10" t="s">
        <v>2018</v>
      </c>
      <c r="S345" s="57" t="s">
        <v>2028</v>
      </c>
      <c r="T345" s="57" t="s">
        <v>2029</v>
      </c>
      <c r="U345" s="64" t="s">
        <v>2022</v>
      </c>
      <c r="V345" s="9" t="s">
        <v>2023</v>
      </c>
      <c r="W345" s="64" t="s">
        <v>2030</v>
      </c>
      <c r="X345" s="67"/>
      <c r="Y345" s="98"/>
      <c r="Z345" s="98"/>
      <c r="AA345" s="61"/>
      <c r="AB345" s="18"/>
      <c r="AC345" s="19"/>
      <c r="AD345" s="19"/>
      <c r="AE345" s="19"/>
      <c r="AF345" s="115"/>
      <c r="AG345" s="114"/>
      <c r="AH345" s="114"/>
    </row>
    <row r="346" s="34" customFormat="1" spans="1:34">
      <c r="A346" s="13" t="s">
        <v>1998</v>
      </c>
      <c r="B346" s="13" t="s">
        <v>1999</v>
      </c>
      <c r="C346" s="13" t="s">
        <v>2000</v>
      </c>
      <c r="D346" s="54" t="s">
        <v>2001</v>
      </c>
      <c r="E346" s="9" t="s">
        <v>2001</v>
      </c>
      <c r="F346" s="13" t="s">
        <v>2002</v>
      </c>
      <c r="G346" s="13" t="s">
        <v>2003</v>
      </c>
      <c r="H346" s="13" t="s">
        <v>2004</v>
      </c>
      <c r="I346" s="11" t="s">
        <v>2015</v>
      </c>
      <c r="J346" s="10" t="s">
        <v>2016</v>
      </c>
      <c r="K346" s="9" t="s">
        <v>2006</v>
      </c>
      <c r="L346" s="9">
        <v>13896876576</v>
      </c>
      <c r="M346" s="11" t="s">
        <v>2017</v>
      </c>
      <c r="N346" s="10" t="s">
        <v>2018</v>
      </c>
      <c r="O346" s="9" t="s">
        <v>2006</v>
      </c>
      <c r="P346" s="9">
        <v>13896876570</v>
      </c>
      <c r="Q346" s="10" t="s">
        <v>2019</v>
      </c>
      <c r="R346" s="10" t="s">
        <v>2018</v>
      </c>
      <c r="S346" s="57" t="s">
        <v>2031</v>
      </c>
      <c r="T346" s="57" t="s">
        <v>2032</v>
      </c>
      <c r="U346" s="64" t="s">
        <v>2022</v>
      </c>
      <c r="V346" s="9" t="s">
        <v>2023</v>
      </c>
      <c r="W346" s="64" t="s">
        <v>2033</v>
      </c>
      <c r="X346" s="67"/>
      <c r="Y346" s="98"/>
      <c r="Z346" s="98"/>
      <c r="AA346" s="61"/>
      <c r="AB346" s="18"/>
      <c r="AC346" s="19"/>
      <c r="AD346" s="19"/>
      <c r="AE346" s="19"/>
      <c r="AF346" s="115"/>
      <c r="AG346" s="114"/>
      <c r="AH346" s="114"/>
    </row>
    <row r="347" s="34" customFormat="1" spans="1:34">
      <c r="A347" s="13" t="s">
        <v>1998</v>
      </c>
      <c r="B347" s="13" t="s">
        <v>1999</v>
      </c>
      <c r="C347" s="13" t="s">
        <v>2000</v>
      </c>
      <c r="D347" s="54" t="s">
        <v>2034</v>
      </c>
      <c r="E347" s="9" t="s">
        <v>2034</v>
      </c>
      <c r="F347" s="13" t="s">
        <v>2002</v>
      </c>
      <c r="G347" s="13" t="s">
        <v>2003</v>
      </c>
      <c r="H347" s="13" t="s">
        <v>2004</v>
      </c>
      <c r="I347" s="11" t="s">
        <v>2005</v>
      </c>
      <c r="J347" s="10" t="s">
        <v>1004</v>
      </c>
      <c r="K347" s="9" t="s">
        <v>2035</v>
      </c>
      <c r="L347" s="9">
        <v>13896876576</v>
      </c>
      <c r="M347" s="11" t="s">
        <v>2036</v>
      </c>
      <c r="N347" s="10" t="s">
        <v>2037</v>
      </c>
      <c r="O347" s="9" t="s">
        <v>2035</v>
      </c>
      <c r="P347" s="9">
        <v>13737327419</v>
      </c>
      <c r="Q347" s="10" t="s">
        <v>2038</v>
      </c>
      <c r="R347" s="10" t="s">
        <v>2037</v>
      </c>
      <c r="S347" s="57" t="s">
        <v>2039</v>
      </c>
      <c r="T347" s="57" t="s">
        <v>2040</v>
      </c>
      <c r="U347" s="64" t="s">
        <v>2041</v>
      </c>
      <c r="V347" s="9" t="s">
        <v>2042</v>
      </c>
      <c r="W347" s="64" t="s">
        <v>2043</v>
      </c>
      <c r="X347" s="67"/>
      <c r="Y347" s="98"/>
      <c r="Z347" s="98"/>
      <c r="AA347" s="61"/>
      <c r="AB347" s="18"/>
      <c r="AC347" s="19"/>
      <c r="AD347" s="19"/>
      <c r="AE347" s="19"/>
      <c r="AF347" s="115"/>
      <c r="AG347" s="114"/>
      <c r="AH347" s="114"/>
    </row>
    <row r="348" s="34" customFormat="1" spans="1:34">
      <c r="A348" s="13" t="s">
        <v>1998</v>
      </c>
      <c r="B348" s="13" t="s">
        <v>1999</v>
      </c>
      <c r="C348" s="13" t="s">
        <v>2000</v>
      </c>
      <c r="D348" s="54" t="s">
        <v>2034</v>
      </c>
      <c r="E348" s="9" t="s">
        <v>2034</v>
      </c>
      <c r="F348" s="13" t="s">
        <v>2002</v>
      </c>
      <c r="G348" s="13" t="s">
        <v>2003</v>
      </c>
      <c r="H348" s="13" t="s">
        <v>2004</v>
      </c>
      <c r="I348" s="11" t="s">
        <v>2005</v>
      </c>
      <c r="J348" s="10" t="s">
        <v>1004</v>
      </c>
      <c r="K348" s="9" t="s">
        <v>2035</v>
      </c>
      <c r="L348" s="9">
        <v>13896876576</v>
      </c>
      <c r="M348" s="11" t="s">
        <v>2036</v>
      </c>
      <c r="N348" s="10" t="s">
        <v>2037</v>
      </c>
      <c r="O348" s="9" t="s">
        <v>2035</v>
      </c>
      <c r="P348" s="9">
        <v>19267785948</v>
      </c>
      <c r="Q348" s="10" t="s">
        <v>2038</v>
      </c>
      <c r="R348" s="10" t="s">
        <v>2037</v>
      </c>
      <c r="S348" s="57" t="s">
        <v>2044</v>
      </c>
      <c r="T348" s="57" t="s">
        <v>2045</v>
      </c>
      <c r="U348" s="64" t="s">
        <v>2046</v>
      </c>
      <c r="V348" s="9" t="s">
        <v>2042</v>
      </c>
      <c r="W348" s="64" t="s">
        <v>2047</v>
      </c>
      <c r="X348" s="67"/>
      <c r="Y348" s="98"/>
      <c r="Z348" s="98"/>
      <c r="AA348" s="61"/>
      <c r="AB348" s="18"/>
      <c r="AC348" s="19"/>
      <c r="AD348" s="19"/>
      <c r="AE348" s="19"/>
      <c r="AF348" s="115"/>
      <c r="AG348" s="114"/>
      <c r="AH348" s="114"/>
    </row>
    <row r="349" s="34" customFormat="1" spans="1:34">
      <c r="A349" s="13" t="s">
        <v>1998</v>
      </c>
      <c r="B349" s="13" t="s">
        <v>1999</v>
      </c>
      <c r="C349" s="13" t="s">
        <v>2000</v>
      </c>
      <c r="D349" s="54" t="s">
        <v>2034</v>
      </c>
      <c r="E349" s="9" t="s">
        <v>2034</v>
      </c>
      <c r="F349" s="13" t="s">
        <v>2002</v>
      </c>
      <c r="G349" s="13" t="s">
        <v>2003</v>
      </c>
      <c r="H349" s="13" t="s">
        <v>2004</v>
      </c>
      <c r="I349" s="11" t="s">
        <v>2005</v>
      </c>
      <c r="J349" s="10" t="s">
        <v>1004</v>
      </c>
      <c r="K349" s="9" t="s">
        <v>2035</v>
      </c>
      <c r="L349" s="9">
        <v>13896876576</v>
      </c>
      <c r="M349" s="11" t="s">
        <v>2036</v>
      </c>
      <c r="N349" s="10" t="s">
        <v>2037</v>
      </c>
      <c r="O349" s="9" t="s">
        <v>2035</v>
      </c>
      <c r="P349" s="9">
        <v>19267785948</v>
      </c>
      <c r="Q349" s="10" t="s">
        <v>2038</v>
      </c>
      <c r="R349" s="10" t="s">
        <v>2037</v>
      </c>
      <c r="S349" s="57" t="s">
        <v>2048</v>
      </c>
      <c r="T349" s="57" t="s">
        <v>2049</v>
      </c>
      <c r="U349" s="64" t="s">
        <v>2050</v>
      </c>
      <c r="V349" s="9" t="s">
        <v>2042</v>
      </c>
      <c r="W349" s="64" t="s">
        <v>2051</v>
      </c>
      <c r="X349" s="67"/>
      <c r="Y349" s="98"/>
      <c r="Z349" s="98"/>
      <c r="AA349" s="61"/>
      <c r="AB349" s="18"/>
      <c r="AC349" s="19"/>
      <c r="AD349" s="19"/>
      <c r="AE349" s="19"/>
      <c r="AF349" s="114"/>
      <c r="AG349" s="114"/>
      <c r="AH349" s="114"/>
    </row>
    <row r="350" s="34" customFormat="1" spans="1:34">
      <c r="A350" s="13" t="s">
        <v>1998</v>
      </c>
      <c r="B350" s="13" t="s">
        <v>1999</v>
      </c>
      <c r="C350" s="13" t="s">
        <v>2000</v>
      </c>
      <c r="D350" s="54" t="s">
        <v>2034</v>
      </c>
      <c r="E350" s="9" t="s">
        <v>2034</v>
      </c>
      <c r="F350" s="13" t="s">
        <v>2002</v>
      </c>
      <c r="G350" s="13" t="s">
        <v>2003</v>
      </c>
      <c r="H350" s="13" t="s">
        <v>2004</v>
      </c>
      <c r="I350" s="11" t="s">
        <v>2052</v>
      </c>
      <c r="J350" s="10" t="s">
        <v>2053</v>
      </c>
      <c r="K350" s="9" t="s">
        <v>2054</v>
      </c>
      <c r="L350" s="9">
        <v>13896876576</v>
      </c>
      <c r="M350" s="11" t="s">
        <v>2055</v>
      </c>
      <c r="N350" s="10" t="s">
        <v>2056</v>
      </c>
      <c r="O350" s="9" t="s">
        <v>2054</v>
      </c>
      <c r="P350" s="9">
        <v>15183822517</v>
      </c>
      <c r="Q350" s="10" t="s">
        <v>2057</v>
      </c>
      <c r="R350" s="10" t="s">
        <v>2056</v>
      </c>
      <c r="S350" s="57" t="s">
        <v>2058</v>
      </c>
      <c r="T350" s="57" t="s">
        <v>2059</v>
      </c>
      <c r="U350" s="64" t="s">
        <v>2060</v>
      </c>
      <c r="V350" s="9" t="s">
        <v>2042</v>
      </c>
      <c r="W350" s="64" t="s">
        <v>2061</v>
      </c>
      <c r="X350" s="67"/>
      <c r="Y350" s="98"/>
      <c r="Z350" s="98"/>
      <c r="AA350" s="61"/>
      <c r="AB350" s="18"/>
      <c r="AC350" s="19"/>
      <c r="AD350" s="19"/>
      <c r="AE350" s="19"/>
      <c r="AF350" s="114"/>
      <c r="AG350" s="114"/>
      <c r="AH350" s="114"/>
    </row>
    <row r="351" s="34" customFormat="1" spans="1:34">
      <c r="A351" s="13" t="s">
        <v>1998</v>
      </c>
      <c r="B351" s="13" t="s">
        <v>1999</v>
      </c>
      <c r="C351" s="13" t="s">
        <v>2000</v>
      </c>
      <c r="D351" s="54" t="s">
        <v>2062</v>
      </c>
      <c r="E351" s="9" t="s">
        <v>2062</v>
      </c>
      <c r="F351" s="13" t="s">
        <v>2002</v>
      </c>
      <c r="G351" s="13" t="s">
        <v>2003</v>
      </c>
      <c r="H351" s="13" t="s">
        <v>2004</v>
      </c>
      <c r="I351" s="11" t="s">
        <v>2063</v>
      </c>
      <c r="J351" s="10" t="s">
        <v>2064</v>
      </c>
      <c r="K351" s="9" t="s">
        <v>2054</v>
      </c>
      <c r="L351" s="9">
        <v>13896876576</v>
      </c>
      <c r="M351" s="11" t="s">
        <v>2065</v>
      </c>
      <c r="N351" s="10" t="s">
        <v>2066</v>
      </c>
      <c r="O351" s="9" t="s">
        <v>2054</v>
      </c>
      <c r="P351" s="9">
        <v>15183822517</v>
      </c>
      <c r="Q351" s="10" t="s">
        <v>2067</v>
      </c>
      <c r="R351" s="10" t="s">
        <v>2068</v>
      </c>
      <c r="S351" s="57" t="s">
        <v>2069</v>
      </c>
      <c r="T351" s="57" t="s">
        <v>2070</v>
      </c>
      <c r="U351" s="64" t="s">
        <v>2071</v>
      </c>
      <c r="V351" s="9" t="s">
        <v>2042</v>
      </c>
      <c r="W351" s="64" t="s">
        <v>2072</v>
      </c>
      <c r="X351" s="67"/>
      <c r="Y351" s="98"/>
      <c r="Z351" s="98"/>
      <c r="AA351" s="61"/>
      <c r="AB351" s="18"/>
      <c r="AC351" s="19"/>
      <c r="AD351" s="19"/>
      <c r="AE351" s="19"/>
      <c r="AF351" s="114"/>
      <c r="AG351" s="114"/>
      <c r="AH351" s="114"/>
    </row>
    <row r="352" s="34" customFormat="1" spans="1:34">
      <c r="A352" s="13" t="s">
        <v>1998</v>
      </c>
      <c r="B352" s="13" t="s">
        <v>1999</v>
      </c>
      <c r="C352" s="13" t="s">
        <v>2000</v>
      </c>
      <c r="D352" s="54" t="s">
        <v>2062</v>
      </c>
      <c r="E352" s="9" t="s">
        <v>2062</v>
      </c>
      <c r="F352" s="13" t="s">
        <v>2002</v>
      </c>
      <c r="G352" s="13" t="s">
        <v>2003</v>
      </c>
      <c r="H352" s="13" t="s">
        <v>2004</v>
      </c>
      <c r="I352" s="11" t="s">
        <v>2063</v>
      </c>
      <c r="J352" s="10" t="s">
        <v>2064</v>
      </c>
      <c r="K352" s="9" t="s">
        <v>2054</v>
      </c>
      <c r="L352" s="9">
        <v>13896876576</v>
      </c>
      <c r="M352" s="11" t="s">
        <v>2065</v>
      </c>
      <c r="N352" s="10" t="s">
        <v>2066</v>
      </c>
      <c r="O352" s="9" t="s">
        <v>2054</v>
      </c>
      <c r="P352" s="9">
        <v>15183822517</v>
      </c>
      <c r="Q352" s="10" t="s">
        <v>2067</v>
      </c>
      <c r="R352" s="10" t="s">
        <v>2068</v>
      </c>
      <c r="S352" s="57" t="s">
        <v>2073</v>
      </c>
      <c r="T352" s="57" t="s">
        <v>2074</v>
      </c>
      <c r="U352" s="64" t="s">
        <v>2071</v>
      </c>
      <c r="V352" s="9" t="s">
        <v>2042</v>
      </c>
      <c r="W352" s="64" t="s">
        <v>2075</v>
      </c>
      <c r="X352" s="67"/>
      <c r="Y352" s="98"/>
      <c r="Z352" s="98"/>
      <c r="AA352" s="61"/>
      <c r="AB352" s="18"/>
      <c r="AC352" s="19"/>
      <c r="AD352" s="19"/>
      <c r="AE352" s="19"/>
      <c r="AF352" s="114"/>
      <c r="AG352" s="114"/>
      <c r="AH352" s="114"/>
    </row>
    <row r="353" s="34" customFormat="1" spans="1:34">
      <c r="A353" s="13" t="s">
        <v>1998</v>
      </c>
      <c r="B353" s="13" t="s">
        <v>1999</v>
      </c>
      <c r="C353" s="13" t="s">
        <v>2000</v>
      </c>
      <c r="D353" s="54" t="s">
        <v>2062</v>
      </c>
      <c r="E353" s="9" t="s">
        <v>2062</v>
      </c>
      <c r="F353" s="13" t="s">
        <v>2002</v>
      </c>
      <c r="G353" s="13" t="s">
        <v>2003</v>
      </c>
      <c r="H353" s="13" t="s">
        <v>2004</v>
      </c>
      <c r="I353" s="11" t="s">
        <v>2063</v>
      </c>
      <c r="J353" s="10" t="s">
        <v>2064</v>
      </c>
      <c r="K353" s="9" t="s">
        <v>2054</v>
      </c>
      <c r="L353" s="9">
        <v>13896876576</v>
      </c>
      <c r="M353" s="11" t="s">
        <v>2065</v>
      </c>
      <c r="N353" s="10" t="s">
        <v>2066</v>
      </c>
      <c r="O353" s="9" t="s">
        <v>2054</v>
      </c>
      <c r="P353" s="9">
        <v>15183822517</v>
      </c>
      <c r="Q353" s="10" t="s">
        <v>2067</v>
      </c>
      <c r="R353" s="10" t="s">
        <v>2068</v>
      </c>
      <c r="S353" s="57" t="s">
        <v>2076</v>
      </c>
      <c r="T353" s="57" t="s">
        <v>2077</v>
      </c>
      <c r="U353" s="64" t="s">
        <v>2071</v>
      </c>
      <c r="V353" s="9" t="s">
        <v>2042</v>
      </c>
      <c r="W353" s="64" t="s">
        <v>2078</v>
      </c>
      <c r="X353" s="67"/>
      <c r="Y353" s="98"/>
      <c r="Z353" s="98"/>
      <c r="AA353" s="61"/>
      <c r="AB353" s="18"/>
      <c r="AC353" s="19"/>
      <c r="AD353" s="19"/>
      <c r="AE353" s="19"/>
      <c r="AF353" s="114"/>
      <c r="AG353" s="114"/>
      <c r="AH353" s="114"/>
    </row>
    <row r="354" s="34" customFormat="1" spans="1:34">
      <c r="A354" s="13" t="s">
        <v>1998</v>
      </c>
      <c r="B354" s="13" t="s">
        <v>1999</v>
      </c>
      <c r="C354" s="13" t="s">
        <v>2000</v>
      </c>
      <c r="D354" s="54" t="s">
        <v>2079</v>
      </c>
      <c r="E354" s="9" t="s">
        <v>2079</v>
      </c>
      <c r="F354" s="13" t="s">
        <v>2002</v>
      </c>
      <c r="G354" s="13" t="s">
        <v>2003</v>
      </c>
      <c r="H354" s="13" t="s">
        <v>2004</v>
      </c>
      <c r="I354" s="11" t="s">
        <v>2080</v>
      </c>
      <c r="J354" s="10" t="s">
        <v>2081</v>
      </c>
      <c r="K354" s="9" t="s">
        <v>2082</v>
      </c>
      <c r="L354" s="9">
        <v>13333838368</v>
      </c>
      <c r="M354" s="11" t="s">
        <v>2083</v>
      </c>
      <c r="N354" s="10" t="s">
        <v>2084</v>
      </c>
      <c r="O354" s="9" t="s">
        <v>2085</v>
      </c>
      <c r="P354" s="9">
        <v>13164486789</v>
      </c>
      <c r="Q354" s="10" t="s">
        <v>2086</v>
      </c>
      <c r="R354" s="10" t="s">
        <v>2084</v>
      </c>
      <c r="S354" s="57" t="s">
        <v>2087</v>
      </c>
      <c r="T354" s="57" t="s">
        <v>2084</v>
      </c>
      <c r="U354" s="64" t="s">
        <v>2088</v>
      </c>
      <c r="V354" s="9" t="s">
        <v>2089</v>
      </c>
      <c r="W354" s="64" t="s">
        <v>2090</v>
      </c>
      <c r="X354" s="67"/>
      <c r="Y354" s="98"/>
      <c r="Z354" s="98"/>
      <c r="AA354" s="61"/>
      <c r="AB354" s="18"/>
      <c r="AC354" s="19"/>
      <c r="AD354" s="19"/>
      <c r="AE354" s="19"/>
      <c r="AF354" s="114"/>
      <c r="AG354" s="114"/>
      <c r="AH354" s="114"/>
    </row>
    <row r="355" s="34" customFormat="1" spans="1:34">
      <c r="A355" s="13" t="s">
        <v>1998</v>
      </c>
      <c r="B355" s="13" t="s">
        <v>1999</v>
      </c>
      <c r="C355" s="13" t="s">
        <v>2000</v>
      </c>
      <c r="D355" s="54" t="s">
        <v>2091</v>
      </c>
      <c r="E355" s="9" t="s">
        <v>2091</v>
      </c>
      <c r="F355" s="13" t="s">
        <v>2002</v>
      </c>
      <c r="G355" s="13" t="s">
        <v>2003</v>
      </c>
      <c r="H355" s="13" t="s">
        <v>2004</v>
      </c>
      <c r="I355" s="11" t="s">
        <v>2063</v>
      </c>
      <c r="J355" s="10" t="s">
        <v>2064</v>
      </c>
      <c r="K355" s="9" t="s">
        <v>2082</v>
      </c>
      <c r="L355" s="9">
        <v>13333838368</v>
      </c>
      <c r="M355" s="11" t="s">
        <v>2092</v>
      </c>
      <c r="N355" s="10" t="s">
        <v>2093</v>
      </c>
      <c r="O355" s="9" t="s">
        <v>2085</v>
      </c>
      <c r="P355" s="9">
        <v>13164486789</v>
      </c>
      <c r="Q355" s="10" t="s">
        <v>2094</v>
      </c>
      <c r="R355" s="10" t="s">
        <v>2093</v>
      </c>
      <c r="S355" s="57" t="s">
        <v>2095</v>
      </c>
      <c r="T355" s="57" t="s">
        <v>2093</v>
      </c>
      <c r="U355" s="64" t="s">
        <v>2096</v>
      </c>
      <c r="V355" s="9" t="s">
        <v>2097</v>
      </c>
      <c r="W355" s="64" t="s">
        <v>2098</v>
      </c>
      <c r="X355" s="67"/>
      <c r="Y355" s="98"/>
      <c r="Z355" s="98"/>
      <c r="AA355" s="61"/>
      <c r="AB355" s="18"/>
      <c r="AC355" s="19"/>
      <c r="AD355" s="19"/>
      <c r="AE355" s="19"/>
      <c r="AF355" s="114"/>
      <c r="AG355" s="114"/>
      <c r="AH355" s="114"/>
    </row>
    <row r="356" s="34" customFormat="1" spans="1:34">
      <c r="A356" s="13" t="s">
        <v>1998</v>
      </c>
      <c r="B356" s="13" t="s">
        <v>1999</v>
      </c>
      <c r="C356" s="13" t="s">
        <v>2000</v>
      </c>
      <c r="D356" s="54" t="s">
        <v>2091</v>
      </c>
      <c r="E356" s="9" t="s">
        <v>2091</v>
      </c>
      <c r="F356" s="13" t="s">
        <v>2002</v>
      </c>
      <c r="G356" s="13" t="s">
        <v>2003</v>
      </c>
      <c r="H356" s="13" t="s">
        <v>2004</v>
      </c>
      <c r="I356" s="11" t="s">
        <v>2005</v>
      </c>
      <c r="J356" s="10" t="s">
        <v>1004</v>
      </c>
      <c r="K356" s="9" t="s">
        <v>2082</v>
      </c>
      <c r="L356" s="9">
        <v>13333838368</v>
      </c>
      <c r="M356" s="11" t="s">
        <v>2099</v>
      </c>
      <c r="N356" s="10" t="s">
        <v>2100</v>
      </c>
      <c r="O356" s="9" t="s">
        <v>2085</v>
      </c>
      <c r="P356" s="9">
        <v>13164486789</v>
      </c>
      <c r="Q356" s="10" t="s">
        <v>2101</v>
      </c>
      <c r="R356" s="10" t="s">
        <v>2100</v>
      </c>
      <c r="S356" s="57" t="s">
        <v>2102</v>
      </c>
      <c r="T356" s="57" t="s">
        <v>2100</v>
      </c>
      <c r="U356" s="64" t="s">
        <v>2103</v>
      </c>
      <c r="V356" s="9" t="s">
        <v>2104</v>
      </c>
      <c r="W356" s="64" t="s">
        <v>2105</v>
      </c>
      <c r="X356" s="67"/>
      <c r="Y356" s="98"/>
      <c r="Z356" s="98"/>
      <c r="AA356" s="61"/>
      <c r="AB356" s="18"/>
      <c r="AC356" s="19"/>
      <c r="AD356" s="19"/>
      <c r="AE356" s="19"/>
      <c r="AF356" s="114"/>
      <c r="AG356" s="114"/>
      <c r="AH356" s="114"/>
    </row>
    <row r="357" s="34" customFormat="1" spans="1:34">
      <c r="A357" s="13" t="s">
        <v>1998</v>
      </c>
      <c r="B357" s="13" t="s">
        <v>1999</v>
      </c>
      <c r="C357" s="13" t="s">
        <v>2000</v>
      </c>
      <c r="D357" s="54" t="s">
        <v>2106</v>
      </c>
      <c r="E357" s="9" t="s">
        <v>2106</v>
      </c>
      <c r="F357" s="13" t="s">
        <v>2002</v>
      </c>
      <c r="G357" s="13" t="s">
        <v>2003</v>
      </c>
      <c r="H357" s="13" t="s">
        <v>2004</v>
      </c>
      <c r="I357" s="11" t="s">
        <v>2005</v>
      </c>
      <c r="J357" s="10" t="s">
        <v>1004</v>
      </c>
      <c r="K357" s="9" t="s">
        <v>2107</v>
      </c>
      <c r="L357" s="9">
        <v>13377336587</v>
      </c>
      <c r="M357" s="11" t="s">
        <v>2108</v>
      </c>
      <c r="N357" s="10" t="s">
        <v>2109</v>
      </c>
      <c r="O357" s="9" t="s">
        <v>2107</v>
      </c>
      <c r="P357" s="9">
        <v>13377336587</v>
      </c>
      <c r="Q357" s="10" t="s">
        <v>2110</v>
      </c>
      <c r="R357" s="10" t="s">
        <v>2109</v>
      </c>
      <c r="S357" s="57" t="s">
        <v>2111</v>
      </c>
      <c r="T357" s="57" t="s">
        <v>2112</v>
      </c>
      <c r="U357" s="64" t="s">
        <v>2113</v>
      </c>
      <c r="V357" s="9" t="s">
        <v>2114</v>
      </c>
      <c r="W357" s="64" t="s">
        <v>2115</v>
      </c>
      <c r="X357" s="67"/>
      <c r="Y357" s="98"/>
      <c r="Z357" s="98"/>
      <c r="AA357" s="61"/>
      <c r="AB357" s="18"/>
      <c r="AC357" s="19"/>
      <c r="AD357" s="19"/>
      <c r="AE357" s="19"/>
      <c r="AF357" s="114"/>
      <c r="AG357" s="114"/>
      <c r="AH357" s="114"/>
    </row>
    <row r="358" s="34" customFormat="1" spans="1:34">
      <c r="A358" s="13" t="s">
        <v>1998</v>
      </c>
      <c r="B358" s="13" t="s">
        <v>1999</v>
      </c>
      <c r="C358" s="13" t="s">
        <v>2000</v>
      </c>
      <c r="D358" s="54" t="s">
        <v>2106</v>
      </c>
      <c r="E358" s="9" t="s">
        <v>2106</v>
      </c>
      <c r="F358" s="13" t="s">
        <v>2002</v>
      </c>
      <c r="G358" s="13" t="s">
        <v>2003</v>
      </c>
      <c r="H358" s="13" t="s">
        <v>2004</v>
      </c>
      <c r="I358" s="11" t="s">
        <v>2005</v>
      </c>
      <c r="J358" s="10" t="s">
        <v>1004</v>
      </c>
      <c r="K358" s="9" t="s">
        <v>2107</v>
      </c>
      <c r="L358" s="9">
        <v>13377336587</v>
      </c>
      <c r="M358" s="11" t="s">
        <v>2108</v>
      </c>
      <c r="N358" s="10" t="s">
        <v>2109</v>
      </c>
      <c r="O358" s="9" t="s">
        <v>2107</v>
      </c>
      <c r="P358" s="9">
        <v>13377336587</v>
      </c>
      <c r="Q358" s="10" t="s">
        <v>2110</v>
      </c>
      <c r="R358" s="10" t="s">
        <v>2109</v>
      </c>
      <c r="S358" s="57" t="s">
        <v>2116</v>
      </c>
      <c r="T358" s="57" t="s">
        <v>2117</v>
      </c>
      <c r="U358" s="64" t="s">
        <v>2118</v>
      </c>
      <c r="V358" s="9" t="s">
        <v>2119</v>
      </c>
      <c r="W358" s="64" t="s">
        <v>2120</v>
      </c>
      <c r="X358" s="67"/>
      <c r="Y358" s="98"/>
      <c r="Z358" s="98"/>
      <c r="AA358" s="61"/>
      <c r="AB358" s="18"/>
      <c r="AC358" s="19"/>
      <c r="AD358" s="19"/>
      <c r="AE358" s="19"/>
      <c r="AF358" s="114"/>
      <c r="AG358" s="114"/>
      <c r="AH358" s="114"/>
    </row>
    <row r="359" s="34" customFormat="1" spans="1:34">
      <c r="A359" s="13" t="s">
        <v>1998</v>
      </c>
      <c r="B359" s="13" t="s">
        <v>1999</v>
      </c>
      <c r="C359" s="13" t="s">
        <v>2000</v>
      </c>
      <c r="D359" s="54" t="s">
        <v>2106</v>
      </c>
      <c r="E359" s="9" t="s">
        <v>2106</v>
      </c>
      <c r="F359" s="13" t="s">
        <v>2002</v>
      </c>
      <c r="G359" s="13" t="s">
        <v>2003</v>
      </c>
      <c r="H359" s="13" t="s">
        <v>2004</v>
      </c>
      <c r="I359" s="11" t="s">
        <v>2005</v>
      </c>
      <c r="J359" s="10" t="s">
        <v>1004</v>
      </c>
      <c r="K359" s="9" t="s">
        <v>2107</v>
      </c>
      <c r="L359" s="9">
        <v>13377336587</v>
      </c>
      <c r="M359" s="11" t="s">
        <v>2121</v>
      </c>
      <c r="N359" s="10" t="s">
        <v>2122</v>
      </c>
      <c r="O359" s="9" t="s">
        <v>2107</v>
      </c>
      <c r="P359" s="9">
        <v>13377336587</v>
      </c>
      <c r="Q359" s="10" t="s">
        <v>2123</v>
      </c>
      <c r="R359" s="10" t="s">
        <v>2122</v>
      </c>
      <c r="S359" s="57" t="s">
        <v>2124</v>
      </c>
      <c r="T359" s="57" t="s">
        <v>2125</v>
      </c>
      <c r="U359" s="64" t="s">
        <v>2126</v>
      </c>
      <c r="V359" s="9" t="s">
        <v>2119</v>
      </c>
      <c r="W359" s="64" t="s">
        <v>2127</v>
      </c>
      <c r="X359" s="67"/>
      <c r="Y359" s="98"/>
      <c r="Z359" s="98"/>
      <c r="AA359" s="61"/>
      <c r="AB359" s="18"/>
      <c r="AC359" s="19"/>
      <c r="AD359" s="19"/>
      <c r="AE359" s="19"/>
      <c r="AF359" s="114"/>
      <c r="AG359" s="114"/>
      <c r="AH359" s="114"/>
    </row>
    <row r="360" s="34" customFormat="1" spans="1:34">
      <c r="A360" s="13" t="s">
        <v>1998</v>
      </c>
      <c r="B360" s="13" t="s">
        <v>1999</v>
      </c>
      <c r="C360" s="13" t="s">
        <v>2000</v>
      </c>
      <c r="D360" s="54" t="s">
        <v>2106</v>
      </c>
      <c r="E360" s="9" t="s">
        <v>2106</v>
      </c>
      <c r="F360" s="13" t="s">
        <v>2002</v>
      </c>
      <c r="G360" s="13" t="s">
        <v>2003</v>
      </c>
      <c r="H360" s="13" t="s">
        <v>2004</v>
      </c>
      <c r="I360" s="11" t="s">
        <v>2005</v>
      </c>
      <c r="J360" s="10" t="s">
        <v>1004</v>
      </c>
      <c r="K360" s="9" t="s">
        <v>2107</v>
      </c>
      <c r="L360" s="9">
        <v>13377336587</v>
      </c>
      <c r="M360" s="11" t="s">
        <v>2121</v>
      </c>
      <c r="N360" s="10" t="s">
        <v>2122</v>
      </c>
      <c r="O360" s="9" t="s">
        <v>2107</v>
      </c>
      <c r="P360" s="9">
        <v>13377336587</v>
      </c>
      <c r="Q360" s="10" t="s">
        <v>2123</v>
      </c>
      <c r="R360" s="10" t="s">
        <v>2122</v>
      </c>
      <c r="S360" s="57" t="s">
        <v>2128</v>
      </c>
      <c r="T360" s="57" t="s">
        <v>2129</v>
      </c>
      <c r="U360" s="64" t="s">
        <v>2130</v>
      </c>
      <c r="V360" s="9" t="s">
        <v>2131</v>
      </c>
      <c r="W360" s="64" t="s">
        <v>2132</v>
      </c>
      <c r="X360" s="67"/>
      <c r="Y360" s="98"/>
      <c r="Z360" s="98"/>
      <c r="AA360" s="61"/>
      <c r="AB360" s="18"/>
      <c r="AC360" s="19"/>
      <c r="AD360" s="19"/>
      <c r="AE360" s="19"/>
      <c r="AF360" s="114"/>
      <c r="AG360" s="114"/>
      <c r="AH360" s="114"/>
    </row>
    <row r="361" s="34" customFormat="1" spans="1:34">
      <c r="A361" s="13" t="s">
        <v>1998</v>
      </c>
      <c r="B361" s="13" t="s">
        <v>1999</v>
      </c>
      <c r="C361" s="13" t="s">
        <v>2000</v>
      </c>
      <c r="D361" s="54" t="s">
        <v>2106</v>
      </c>
      <c r="E361" s="9" t="s">
        <v>2106</v>
      </c>
      <c r="F361" s="13" t="s">
        <v>2002</v>
      </c>
      <c r="G361" s="13" t="s">
        <v>2003</v>
      </c>
      <c r="H361" s="13" t="s">
        <v>2004</v>
      </c>
      <c r="I361" s="11" t="s">
        <v>2005</v>
      </c>
      <c r="J361" s="10" t="s">
        <v>1004</v>
      </c>
      <c r="K361" s="9" t="s">
        <v>2107</v>
      </c>
      <c r="L361" s="9">
        <v>13377336587</v>
      </c>
      <c r="M361" s="11" t="s">
        <v>2121</v>
      </c>
      <c r="N361" s="10" t="s">
        <v>2122</v>
      </c>
      <c r="O361" s="9" t="s">
        <v>2107</v>
      </c>
      <c r="P361" s="9">
        <v>13377336587</v>
      </c>
      <c r="Q361" s="10" t="s">
        <v>2123</v>
      </c>
      <c r="R361" s="10" t="s">
        <v>2122</v>
      </c>
      <c r="S361" s="57" t="s">
        <v>2133</v>
      </c>
      <c r="T361" s="57" t="s">
        <v>2134</v>
      </c>
      <c r="U361" s="64" t="s">
        <v>2130</v>
      </c>
      <c r="V361" s="114"/>
      <c r="W361" s="64" t="s">
        <v>2135</v>
      </c>
      <c r="X361" s="67"/>
      <c r="Y361" s="98"/>
      <c r="Z361" s="98"/>
      <c r="AA361" s="61"/>
      <c r="AB361" s="18"/>
      <c r="AC361" s="19"/>
      <c r="AD361" s="19"/>
      <c r="AE361" s="19"/>
      <c r="AF361" s="114"/>
      <c r="AG361" s="114"/>
      <c r="AH361" s="114"/>
    </row>
    <row r="362" s="34" customFormat="1" spans="1:34">
      <c r="A362" s="13" t="s">
        <v>1998</v>
      </c>
      <c r="B362" s="13" t="s">
        <v>1999</v>
      </c>
      <c r="C362" s="13" t="s">
        <v>2000</v>
      </c>
      <c r="D362" s="54" t="s">
        <v>2106</v>
      </c>
      <c r="E362" s="9" t="s">
        <v>2106</v>
      </c>
      <c r="F362" s="13" t="s">
        <v>2002</v>
      </c>
      <c r="G362" s="13" t="s">
        <v>2003</v>
      </c>
      <c r="H362" s="13" t="s">
        <v>2004</v>
      </c>
      <c r="I362" s="11" t="s">
        <v>2005</v>
      </c>
      <c r="J362" s="10" t="s">
        <v>1004</v>
      </c>
      <c r="K362" s="9" t="s">
        <v>2107</v>
      </c>
      <c r="L362" s="9">
        <v>13377336587</v>
      </c>
      <c r="M362" s="11" t="s">
        <v>2121</v>
      </c>
      <c r="N362" s="10" t="s">
        <v>2122</v>
      </c>
      <c r="O362" s="9" t="s">
        <v>2107</v>
      </c>
      <c r="P362" s="9">
        <v>13377336587</v>
      </c>
      <c r="Q362" s="10" t="s">
        <v>2123</v>
      </c>
      <c r="R362" s="10" t="s">
        <v>2122</v>
      </c>
      <c r="S362" s="57" t="s">
        <v>2136</v>
      </c>
      <c r="T362" s="57" t="s">
        <v>2137</v>
      </c>
      <c r="U362" s="64" t="s">
        <v>2130</v>
      </c>
      <c r="V362" s="9" t="s">
        <v>1765</v>
      </c>
      <c r="W362" s="64" t="s">
        <v>2138</v>
      </c>
      <c r="X362" s="67"/>
      <c r="Y362" s="98"/>
      <c r="Z362" s="98"/>
      <c r="AA362" s="61"/>
      <c r="AB362" s="18"/>
      <c r="AC362" s="19"/>
      <c r="AD362" s="19"/>
      <c r="AE362" s="19"/>
      <c r="AF362" s="114"/>
      <c r="AG362" s="114"/>
      <c r="AH362" s="114"/>
    </row>
    <row r="363" s="34" customFormat="1" spans="1:34">
      <c r="A363" s="13" t="s">
        <v>1998</v>
      </c>
      <c r="B363" s="13" t="s">
        <v>1999</v>
      </c>
      <c r="C363" s="13" t="s">
        <v>2000</v>
      </c>
      <c r="D363" s="54" t="s">
        <v>2139</v>
      </c>
      <c r="E363" s="9" t="s">
        <v>2139</v>
      </c>
      <c r="F363" s="13" t="s">
        <v>2002</v>
      </c>
      <c r="G363" s="13" t="s">
        <v>2003</v>
      </c>
      <c r="H363" s="13" t="s">
        <v>2004</v>
      </c>
      <c r="I363" s="11" t="s">
        <v>2005</v>
      </c>
      <c r="J363" s="10" t="s">
        <v>1004</v>
      </c>
      <c r="K363" s="9" t="s">
        <v>2107</v>
      </c>
      <c r="L363" s="9">
        <v>13377336587</v>
      </c>
      <c r="M363" s="11" t="s">
        <v>2140</v>
      </c>
      <c r="N363" s="10" t="s">
        <v>2141</v>
      </c>
      <c r="O363" s="9" t="s">
        <v>2107</v>
      </c>
      <c r="P363" s="9">
        <v>13377336587</v>
      </c>
      <c r="Q363" s="10" t="s">
        <v>2142</v>
      </c>
      <c r="R363" s="10" t="s">
        <v>2143</v>
      </c>
      <c r="S363" s="57" t="s">
        <v>2144</v>
      </c>
      <c r="T363" s="57" t="s">
        <v>2143</v>
      </c>
      <c r="U363" s="64" t="s">
        <v>2145</v>
      </c>
      <c r="V363" s="9"/>
      <c r="W363" s="64" t="s">
        <v>2146</v>
      </c>
      <c r="X363" s="67"/>
      <c r="Y363" s="98"/>
      <c r="Z363" s="98"/>
      <c r="AA363" s="61"/>
      <c r="AB363" s="18"/>
      <c r="AC363" s="19"/>
      <c r="AD363" s="19"/>
      <c r="AE363" s="19"/>
      <c r="AF363" s="114"/>
      <c r="AG363" s="114"/>
      <c r="AH363" s="114"/>
    </row>
    <row r="364" s="34" customFormat="1" spans="1:34">
      <c r="A364" s="13" t="s">
        <v>1998</v>
      </c>
      <c r="B364" s="13" t="s">
        <v>1999</v>
      </c>
      <c r="C364" s="13" t="s">
        <v>2000</v>
      </c>
      <c r="D364" s="54" t="s">
        <v>2147</v>
      </c>
      <c r="E364" s="9" t="s">
        <v>2147</v>
      </c>
      <c r="F364" s="13" t="s">
        <v>2002</v>
      </c>
      <c r="G364" s="13" t="s">
        <v>2003</v>
      </c>
      <c r="H364" s="13" t="s">
        <v>2004</v>
      </c>
      <c r="I364" s="11" t="s">
        <v>2005</v>
      </c>
      <c r="J364" s="10" t="s">
        <v>1004</v>
      </c>
      <c r="K364" s="9" t="s">
        <v>2107</v>
      </c>
      <c r="L364" s="9">
        <v>13377336587</v>
      </c>
      <c r="M364" s="11" t="s">
        <v>2140</v>
      </c>
      <c r="N364" s="10" t="s">
        <v>2141</v>
      </c>
      <c r="O364" s="9" t="s">
        <v>2148</v>
      </c>
      <c r="P364" s="9">
        <v>18623999118</v>
      </c>
      <c r="Q364" s="10" t="s">
        <v>2149</v>
      </c>
      <c r="R364" s="10" t="s">
        <v>2141</v>
      </c>
      <c r="S364" s="57" t="s">
        <v>2150</v>
      </c>
      <c r="T364" s="57" t="s">
        <v>2141</v>
      </c>
      <c r="U364" s="64" t="s">
        <v>2151</v>
      </c>
      <c r="V364" s="9" t="s">
        <v>2152</v>
      </c>
      <c r="W364" s="64" t="s">
        <v>2153</v>
      </c>
      <c r="X364" s="67"/>
      <c r="Y364" s="98"/>
      <c r="Z364" s="98"/>
      <c r="AA364" s="61"/>
      <c r="AB364" s="18"/>
      <c r="AC364" s="19"/>
      <c r="AD364" s="19"/>
      <c r="AE364" s="19"/>
      <c r="AF364" s="114"/>
      <c r="AG364" s="114"/>
      <c r="AH364" s="114"/>
    </row>
    <row r="365" s="34" customFormat="1" spans="1:34">
      <c r="A365" s="13" t="s">
        <v>1998</v>
      </c>
      <c r="B365" s="13" t="s">
        <v>1999</v>
      </c>
      <c r="C365" s="13" t="s">
        <v>2000</v>
      </c>
      <c r="D365" s="54" t="s">
        <v>2154</v>
      </c>
      <c r="E365" s="9" t="s">
        <v>2154</v>
      </c>
      <c r="F365" s="13" t="s">
        <v>2002</v>
      </c>
      <c r="G365" s="13" t="s">
        <v>2003</v>
      </c>
      <c r="H365" s="13" t="s">
        <v>2004</v>
      </c>
      <c r="I365" s="11" t="s">
        <v>2005</v>
      </c>
      <c r="J365" s="10" t="s">
        <v>1004</v>
      </c>
      <c r="K365" s="9" t="s">
        <v>2107</v>
      </c>
      <c r="L365" s="9">
        <v>13377336587</v>
      </c>
      <c r="M365" s="11" t="s">
        <v>2155</v>
      </c>
      <c r="N365" s="10" t="s">
        <v>2156</v>
      </c>
      <c r="O365" s="9" t="s">
        <v>2107</v>
      </c>
      <c r="P365" s="9">
        <v>13377336587</v>
      </c>
      <c r="Q365" s="10" t="s">
        <v>2157</v>
      </c>
      <c r="R365" s="10" t="s">
        <v>2156</v>
      </c>
      <c r="S365" s="57" t="s">
        <v>2158</v>
      </c>
      <c r="T365" s="57" t="s">
        <v>2156</v>
      </c>
      <c r="U365" s="64" t="s">
        <v>2159</v>
      </c>
      <c r="V365" s="9" t="s">
        <v>1786</v>
      </c>
      <c r="W365" s="64" t="s">
        <v>2160</v>
      </c>
      <c r="X365" s="67"/>
      <c r="Y365" s="98"/>
      <c r="Z365" s="98"/>
      <c r="AA365" s="61"/>
      <c r="AB365" s="18"/>
      <c r="AC365" s="19"/>
      <c r="AD365" s="19"/>
      <c r="AE365" s="19"/>
      <c r="AF365" s="114"/>
      <c r="AG365" s="114"/>
      <c r="AH365" s="114"/>
    </row>
    <row r="366" s="34" customFormat="1" spans="1:34">
      <c r="A366" s="13" t="s">
        <v>1998</v>
      </c>
      <c r="B366" s="13" t="s">
        <v>1999</v>
      </c>
      <c r="C366" s="13" t="s">
        <v>2000</v>
      </c>
      <c r="D366" s="54" t="s">
        <v>2161</v>
      </c>
      <c r="E366" s="9" t="s">
        <v>2161</v>
      </c>
      <c r="F366" s="13" t="s">
        <v>2002</v>
      </c>
      <c r="G366" s="13" t="s">
        <v>2003</v>
      </c>
      <c r="H366" s="13" t="s">
        <v>2004</v>
      </c>
      <c r="I366" s="11" t="s">
        <v>2005</v>
      </c>
      <c r="J366" s="10" t="s">
        <v>1004</v>
      </c>
      <c r="K366" s="9" t="s">
        <v>2162</v>
      </c>
      <c r="L366" s="9">
        <v>13958522962</v>
      </c>
      <c r="M366" s="11" t="s">
        <v>2163</v>
      </c>
      <c r="N366" s="10" t="s">
        <v>2164</v>
      </c>
      <c r="O366" s="9" t="s">
        <v>2162</v>
      </c>
      <c r="P366" s="9">
        <v>17323618345</v>
      </c>
      <c r="Q366" s="10" t="s">
        <v>2165</v>
      </c>
      <c r="R366" s="10" t="s">
        <v>2164</v>
      </c>
      <c r="S366" s="57" t="s">
        <v>2166</v>
      </c>
      <c r="T366" s="57" t="s">
        <v>2167</v>
      </c>
      <c r="U366" s="64" t="s">
        <v>2168</v>
      </c>
      <c r="V366" s="9" t="s">
        <v>2169</v>
      </c>
      <c r="W366" s="64" t="s">
        <v>2170</v>
      </c>
      <c r="X366" s="67"/>
      <c r="Y366" s="98"/>
      <c r="Z366" s="98"/>
      <c r="AA366" s="61"/>
      <c r="AB366" s="18"/>
      <c r="AC366" s="19"/>
      <c r="AD366" s="19"/>
      <c r="AE366" s="19"/>
      <c r="AF366" s="114"/>
      <c r="AG366" s="114"/>
      <c r="AH366" s="114"/>
    </row>
    <row r="367" s="34" customFormat="1" spans="1:34">
      <c r="A367" s="13" t="s">
        <v>1998</v>
      </c>
      <c r="B367" s="13" t="s">
        <v>1999</v>
      </c>
      <c r="C367" s="13" t="s">
        <v>2000</v>
      </c>
      <c r="D367" s="54" t="s">
        <v>2161</v>
      </c>
      <c r="E367" s="9" t="s">
        <v>2161</v>
      </c>
      <c r="F367" s="13" t="s">
        <v>2002</v>
      </c>
      <c r="G367" s="13" t="s">
        <v>2003</v>
      </c>
      <c r="H367" s="13" t="s">
        <v>2004</v>
      </c>
      <c r="I367" s="11" t="s">
        <v>2005</v>
      </c>
      <c r="J367" s="10" t="s">
        <v>1004</v>
      </c>
      <c r="K367" s="9" t="s">
        <v>2162</v>
      </c>
      <c r="L367" s="9">
        <v>13958522962</v>
      </c>
      <c r="M367" s="11" t="s">
        <v>2163</v>
      </c>
      <c r="N367" s="10" t="s">
        <v>2164</v>
      </c>
      <c r="O367" s="9" t="s">
        <v>2162</v>
      </c>
      <c r="P367" s="9">
        <v>17323618345</v>
      </c>
      <c r="Q367" s="10" t="s">
        <v>2165</v>
      </c>
      <c r="R367" s="10" t="s">
        <v>2164</v>
      </c>
      <c r="S367" s="57" t="s">
        <v>2171</v>
      </c>
      <c r="T367" s="57" t="s">
        <v>2172</v>
      </c>
      <c r="U367" s="64" t="s">
        <v>2168</v>
      </c>
      <c r="V367" s="9" t="s">
        <v>1765</v>
      </c>
      <c r="W367" s="64" t="s">
        <v>2173</v>
      </c>
      <c r="X367" s="67"/>
      <c r="Y367" s="98"/>
      <c r="Z367" s="98"/>
      <c r="AA367" s="61"/>
      <c r="AB367" s="18"/>
      <c r="AC367" s="19"/>
      <c r="AD367" s="19"/>
      <c r="AE367" s="19"/>
      <c r="AF367" s="114"/>
      <c r="AG367" s="114"/>
      <c r="AH367" s="114"/>
    </row>
    <row r="368" s="34" customFormat="1" spans="1:34">
      <c r="A368" s="13" t="s">
        <v>1998</v>
      </c>
      <c r="B368" s="13" t="s">
        <v>1999</v>
      </c>
      <c r="C368" s="13" t="s">
        <v>2000</v>
      </c>
      <c r="D368" s="54" t="s">
        <v>2174</v>
      </c>
      <c r="E368" s="9" t="s">
        <v>2174</v>
      </c>
      <c r="F368" s="13" t="s">
        <v>2002</v>
      </c>
      <c r="G368" s="13" t="s">
        <v>2003</v>
      </c>
      <c r="H368" s="13" t="s">
        <v>2004</v>
      </c>
      <c r="I368" s="11" t="s">
        <v>2175</v>
      </c>
      <c r="J368" s="10" t="s">
        <v>2176</v>
      </c>
      <c r="K368" s="9" t="s">
        <v>2162</v>
      </c>
      <c r="L368" s="9">
        <v>13958522962</v>
      </c>
      <c r="M368" s="11" t="s">
        <v>2177</v>
      </c>
      <c r="N368" s="10" t="s">
        <v>2178</v>
      </c>
      <c r="O368" s="9" t="s">
        <v>2162</v>
      </c>
      <c r="P368" s="9">
        <v>15223934345</v>
      </c>
      <c r="Q368" s="10" t="s">
        <v>2179</v>
      </c>
      <c r="R368" s="10" t="s">
        <v>2178</v>
      </c>
      <c r="S368" s="57" t="s">
        <v>2180</v>
      </c>
      <c r="T368" s="57" t="s">
        <v>2178</v>
      </c>
      <c r="U368" s="64" t="s">
        <v>2181</v>
      </c>
      <c r="V368" s="9" t="s">
        <v>2182</v>
      </c>
      <c r="W368" s="64" t="s">
        <v>2183</v>
      </c>
      <c r="X368" s="67"/>
      <c r="Y368" s="98"/>
      <c r="Z368" s="98"/>
      <c r="AA368" s="61"/>
      <c r="AB368" s="18"/>
      <c r="AC368" s="19"/>
      <c r="AD368" s="19"/>
      <c r="AE368" s="19"/>
      <c r="AF368" s="114"/>
      <c r="AG368" s="114"/>
      <c r="AH368" s="114"/>
    </row>
    <row r="369" s="34" customFormat="1" spans="1:34">
      <c r="A369" s="13" t="s">
        <v>1998</v>
      </c>
      <c r="B369" s="13" t="s">
        <v>1999</v>
      </c>
      <c r="C369" s="13" t="s">
        <v>2000</v>
      </c>
      <c r="D369" s="54" t="s">
        <v>2174</v>
      </c>
      <c r="E369" s="9" t="s">
        <v>2174</v>
      </c>
      <c r="F369" s="13" t="s">
        <v>2002</v>
      </c>
      <c r="G369" s="13" t="s">
        <v>2003</v>
      </c>
      <c r="H369" s="13" t="s">
        <v>2004</v>
      </c>
      <c r="I369" s="11" t="s">
        <v>2005</v>
      </c>
      <c r="J369" s="10" t="s">
        <v>1004</v>
      </c>
      <c r="K369" s="9" t="s">
        <v>2162</v>
      </c>
      <c r="L369" s="9">
        <v>13958522962</v>
      </c>
      <c r="M369" s="11" t="s">
        <v>2184</v>
      </c>
      <c r="N369" s="10" t="s">
        <v>2185</v>
      </c>
      <c r="O369" s="9" t="s">
        <v>2186</v>
      </c>
      <c r="P369" s="9">
        <v>15223934345</v>
      </c>
      <c r="Q369" s="10" t="s">
        <v>2187</v>
      </c>
      <c r="R369" s="10" t="s">
        <v>2185</v>
      </c>
      <c r="S369" s="57" t="s">
        <v>2188</v>
      </c>
      <c r="T369" s="57" t="s">
        <v>2185</v>
      </c>
      <c r="U369" s="64" t="s">
        <v>2189</v>
      </c>
      <c r="V369" s="9" t="s">
        <v>2152</v>
      </c>
      <c r="W369" s="64" t="s">
        <v>2183</v>
      </c>
      <c r="X369" s="67"/>
      <c r="Y369" s="98"/>
      <c r="Z369" s="98"/>
      <c r="AA369" s="61"/>
      <c r="AB369" s="18"/>
      <c r="AC369" s="19"/>
      <c r="AD369" s="19"/>
      <c r="AE369" s="19"/>
      <c r="AF369" s="114"/>
      <c r="AG369" s="114"/>
      <c r="AH369" s="114"/>
    </row>
    <row r="370" s="34" customFormat="1" spans="1:34">
      <c r="A370" s="13" t="s">
        <v>1998</v>
      </c>
      <c r="B370" s="13" t="s">
        <v>1999</v>
      </c>
      <c r="C370" s="13" t="s">
        <v>2000</v>
      </c>
      <c r="D370" s="54" t="s">
        <v>2174</v>
      </c>
      <c r="E370" s="9" t="s">
        <v>2174</v>
      </c>
      <c r="F370" s="13" t="s">
        <v>2002</v>
      </c>
      <c r="G370" s="13" t="s">
        <v>2003</v>
      </c>
      <c r="H370" s="13" t="s">
        <v>2004</v>
      </c>
      <c r="I370" s="11" t="s">
        <v>2005</v>
      </c>
      <c r="J370" s="10" t="s">
        <v>1004</v>
      </c>
      <c r="K370" s="9" t="s">
        <v>2162</v>
      </c>
      <c r="L370" s="9">
        <v>13958522962</v>
      </c>
      <c r="M370" s="11" t="s">
        <v>2190</v>
      </c>
      <c r="N370" s="10" t="s">
        <v>2191</v>
      </c>
      <c r="O370" s="9" t="s">
        <v>2186</v>
      </c>
      <c r="P370" s="9">
        <v>15223934345</v>
      </c>
      <c r="Q370" s="10" t="s">
        <v>2192</v>
      </c>
      <c r="R370" s="10" t="s">
        <v>2191</v>
      </c>
      <c r="S370" s="57" t="s">
        <v>2193</v>
      </c>
      <c r="T370" s="57" t="s">
        <v>2191</v>
      </c>
      <c r="U370" s="64" t="s">
        <v>2194</v>
      </c>
      <c r="V370" s="9" t="s">
        <v>2195</v>
      </c>
      <c r="W370" s="64" t="s">
        <v>2183</v>
      </c>
      <c r="X370" s="67"/>
      <c r="Y370" s="98"/>
      <c r="Z370" s="98"/>
      <c r="AA370" s="61"/>
      <c r="AB370" s="18"/>
      <c r="AC370" s="19"/>
      <c r="AD370" s="19"/>
      <c r="AE370" s="19"/>
      <c r="AF370" s="114"/>
      <c r="AG370" s="114"/>
      <c r="AH370" s="114"/>
    </row>
    <row r="371" s="34" customFormat="1" spans="1:34">
      <c r="A371" s="13"/>
      <c r="B371" s="13"/>
      <c r="C371" s="13"/>
      <c r="D371" s="54"/>
      <c r="E371" s="9"/>
      <c r="F371" s="13"/>
      <c r="G371" s="13"/>
      <c r="H371" s="13"/>
      <c r="I371" s="19"/>
      <c r="J371" s="10"/>
      <c r="K371" s="9"/>
      <c r="L371" s="9"/>
      <c r="M371" s="19"/>
      <c r="N371" s="10"/>
      <c r="O371" s="9"/>
      <c r="P371" s="9"/>
      <c r="Q371" s="9"/>
      <c r="R371" s="9"/>
      <c r="S371" s="19"/>
      <c r="T371" s="19"/>
      <c r="U371" s="64"/>
      <c r="V371" s="9"/>
      <c r="W371" s="64"/>
      <c r="X371" s="79"/>
      <c r="Y371" s="98"/>
      <c r="Z371" s="98"/>
      <c r="AA371" s="122"/>
      <c r="AB371" s="18"/>
      <c r="AC371" s="19"/>
      <c r="AD371" s="19"/>
      <c r="AE371" s="19"/>
      <c r="AF371" s="114"/>
      <c r="AG371" s="114"/>
      <c r="AH371" s="114"/>
    </row>
  </sheetData>
  <mergeCells count="23">
    <mergeCell ref="W97:W103"/>
    <mergeCell ref="X253:X259"/>
    <mergeCell ref="X277:X279"/>
    <mergeCell ref="Y30:Y31"/>
    <mergeCell ref="Y97:Y103"/>
    <mergeCell ref="Y113:Y115"/>
    <mergeCell ref="Y166:Y168"/>
    <mergeCell ref="Y171:Y172"/>
    <mergeCell ref="Y184:Y185"/>
    <mergeCell ref="Y277:Y279"/>
    <mergeCell ref="Y285:Y288"/>
    <mergeCell ref="Y296:Y297"/>
    <mergeCell ref="Y298:Y313"/>
    <mergeCell ref="Z30:Z31"/>
    <mergeCell ref="Z97:Z103"/>
    <mergeCell ref="Z113:Z115"/>
    <mergeCell ref="Z166:Z168"/>
    <mergeCell ref="Z171:Z172"/>
    <mergeCell ref="Z184:Z185"/>
    <mergeCell ref="Z277:Z279"/>
    <mergeCell ref="Z285:Z288"/>
    <mergeCell ref="Z296:Z297"/>
    <mergeCell ref="Z298:Z313"/>
  </mergeCells>
  <dataValidations count="16">
    <dataValidation type="list" allowBlank="1" showInputMessage="1" showErrorMessage="1" sqref="A2:A240 A332:A371">
      <formula1>"浙江省,四川省,广西壮族自治区,重庆市,"</formula1>
    </dataValidation>
    <dataValidation type="list" allowBlank="1" showInputMessage="1" showErrorMessage="1" sqref="A241:A331">
      <formula1>"四川省,"</formula1>
    </dataValidation>
    <dataValidation type="list" allowBlank="1" showInputMessage="1" showErrorMessage="1" sqref="B2:B240 B332:B371">
      <formula1>"衢州市,广安市,百色市,重庆郊县,"</formula1>
    </dataValidation>
    <dataValidation type="list" allowBlank="1" showInputMessage="1" showErrorMessage="1" sqref="B241:B331">
      <formula1>"广安市,"</formula1>
    </dataValidation>
    <dataValidation type="list" allowBlank="1" showInputMessage="1" showErrorMessage="1" sqref="C2:C240 C332:C371">
      <formula1>"常山县,武胜县,田林县,右江区,酉阳土家族苗族自治县,"</formula1>
    </dataValidation>
    <dataValidation type="list" allowBlank="1" showInputMessage="1" showErrorMessage="1" sqref="C241:C331">
      <formula1>"武胜县,"</formula1>
    </dataValidation>
    <dataValidation type="list" allowBlank="1" showInputMessage="1" showErrorMessage="1" sqref="D2:D240 D332:D371">
      <formula1>"辉埠镇,紫港街道,东案乡,白石镇,金川街道,天马街道,同弓乡,龙女镇,金牛镇,赛马镇,万善镇,胜利镇,中心镇,街子镇,沿口镇,鸣钟镇,清平镇,飞龙镇,旧州镇,大楞乡,酉水河镇,酉酬镇,偏柏乡,腴地乡,麻旺镇,清泉乡,小河镇,铜鼓乡,五福乡,大溪镇,两罾乡,"</formula1>
    </dataValidation>
    <dataValidation type="list" allowBlank="1" showInputMessage="1" showErrorMessage="1" sqref="D241:D331">
      <formula1>"万善镇,宝箴塞镇,胜利镇,金牛镇,赛马镇,中心镇,街子镇,沿口镇,鸣钟镇,清平镇,万隆镇,龙女镇,飞龙镇,"</formula1>
    </dataValidation>
    <dataValidation type="list" allowBlank="1" showInputMessage="1" showErrorMessage="1" sqref="F2:F240 F332:F371">
      <formula1>"浙江柚香谷投资管理有限公司,浙江常山控股股份有限公司,四川武胜柚香谷农业公司,广西百色柚香谷农业公司,重庆酉阳柚香谷农业公司,"</formula1>
    </dataValidation>
    <dataValidation type="list" allowBlank="1" showInputMessage="1" showErrorMessage="1" sqref="F241:F331">
      <formula1>"四川武胜柚香谷农业公司,"</formula1>
    </dataValidation>
    <dataValidation type="list" allowBlank="1" showInputMessage="1" showErrorMessage="1" sqref="G2:G371">
      <formula1>"CS0,WS0,BS0,YY0,"</formula1>
    </dataValidation>
    <dataValidation type="list" allowBlank="1" showInputMessage="1" showErrorMessage="1" sqref="H2:H240 H332:H371">
      <formula1>"浙江常山,四川武胜,广西百色,重庆酉阳,"</formula1>
    </dataValidation>
    <dataValidation type="list" allowBlank="1" showInputMessage="1" showErrorMessage="1" sqref="H241:H331">
      <formula1>"四川武胜,"</formula1>
    </dataValidation>
    <dataValidation type="list" allowBlank="1" showInputMessage="1" showErrorMessage="1" sqref="I2:I370">
      <formula1>"CS000,CS001,CS002,CS003,WS000,WS001,WS002,WS003,WS004,WS005,WS006,WS007,WS008,WS009,WS00A,BS000,BS001,YY000,YY001,YY002,YY003,YY004,YY005,"</formula1>
    </dataValidation>
    <dataValidation type="list" allowBlank="1" showInputMessage="1" showErrorMessage="1" sqref="J2:J1048576">
      <formula1>"东区,西一区,西二区,示范区,自营区,孙国平/陆亚忠合作区,李凤英合作区,郑晓斌合作区,陈若清合作区,李岳云合作区,王云中合作区,陶坤和合作区,方权合作区,黄成艳合作区,孙卫宁/徐峰合作区,田林平林片区,龙细区（规划中）,陈祥杰合作区,朱晓洁合作区,刘然/肖学祥合作区,兰重举/肖学祥,屠正波合作区,潘利明合作区,孙国平合作区,"</formula1>
    </dataValidation>
    <dataValidation type="list" allowBlank="1" showInputMessage="1" showErrorMessage="1" sqref="AA2:AA370">
      <formula1>"是,否,"</formula1>
    </dataValidation>
  </dataValidations>
  <pageMargins left="0.75" right="0.75" top="1" bottom="1" header="0.5" footer="0.5"/>
  <headerFooter/>
  <ignoredErrors>
    <ignoredError sqref="X332:X337 Y241 X227 X222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 重庆酉阳"/>
  <dimension ref="A1:AT31"/>
  <sheetViews>
    <sheetView workbookViewId="0">
      <pane ySplit="1" topLeftCell="A2" activePane="bottomLeft" state="frozen"/>
      <selection/>
      <selection pane="bottomLeft" activeCell="N28" sqref="N28"/>
    </sheetView>
  </sheetViews>
  <sheetFormatPr defaultColWidth="14" defaultRowHeight="18" customHeight="1"/>
  <cols>
    <col min="1" max="1" width="6.61538461538461" customWidth="1"/>
    <col min="2" max="2" width="8.40384615384615" customWidth="1"/>
    <col min="3" max="3" width="19.2019230769231" customWidth="1"/>
    <col min="4" max="4" width="7.69230769230769" customWidth="1"/>
    <col min="5" max="5" width="8.40384615384615" customWidth="1"/>
    <col min="6" max="6" width="20.9903846153846" customWidth="1"/>
    <col min="7" max="8" width="8.40384615384615" customWidth="1"/>
    <col min="9" max="9" width="5.39423076923077" customWidth="1"/>
    <col min="10" max="10" width="4.85576923076923" customWidth="1"/>
    <col min="11" max="11" width="4.72115384615385" customWidth="1"/>
    <col min="12" max="12" width="8.40384615384615" customWidth="1"/>
    <col min="13" max="13" width="14.7019230769231" customWidth="1"/>
    <col min="14" max="14" width="13.4807692307692" customWidth="1"/>
    <col min="15" max="15" width="6.61538461538461" customWidth="1"/>
    <col min="16" max="16" width="10.2019230769231" customWidth="1"/>
    <col min="17" max="17" width="12.2115384615385" customWidth="1"/>
    <col min="18" max="18" width="8.53846153846154" customWidth="1"/>
    <col min="19" max="19" width="8.40384615384615" customWidth="1"/>
    <col min="20" max="20" width="5.39423076923077" customWidth="1"/>
    <col min="21" max="21" width="10.2019230769231" customWidth="1"/>
    <col min="22" max="22" width="12.2115384615385" customWidth="1"/>
    <col min="23" max="23" width="9.61538461538461" customWidth="1"/>
    <col min="24" max="24" width="8.40384615384615" customWidth="1"/>
    <col min="25" max="25" width="19.7019230769231" customWidth="1"/>
    <col min="26" max="26" width="25.0865384615385" customWidth="1"/>
    <col min="27" max="27" width="15.1057692307692" customWidth="1"/>
    <col min="28" max="28" width="31.3942307692308" hidden="1" customWidth="1"/>
    <col min="29" max="29" width="28.9903846153846" hidden="1" customWidth="1"/>
    <col min="30" max="37" width="8.40384615384615" customWidth="1"/>
    <col min="38" max="38" width="25.0865384615385" customWidth="1"/>
    <col min="39" max="39" width="25.2307692307692" customWidth="1"/>
    <col min="40" max="40" width="20.1057692307692" customWidth="1"/>
    <col min="41" max="43" width="8.40384615384615" customWidth="1"/>
    <col min="44" max="44" width="12" customWidth="1"/>
    <col min="45" max="45" width="8.40384615384615" customWidth="1"/>
    <col min="46" max="46" width="11.7307692307692" customWidth="1"/>
  </cols>
  <sheetData>
    <row r="1" customHeight="1" spans="1:4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  <c r="N1" s="5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6" t="s">
        <v>30</v>
      </c>
      <c r="AA1" s="6" t="s">
        <v>25</v>
      </c>
      <c r="AB1" s="7" t="s">
        <v>1410</v>
      </c>
      <c r="AC1" s="7" t="s">
        <v>1411</v>
      </c>
      <c r="AD1" s="8" t="s">
        <v>26</v>
      </c>
      <c r="AE1" s="8" t="s">
        <v>27</v>
      </c>
      <c r="AF1" s="8" t="s">
        <v>28</v>
      </c>
      <c r="AG1" s="7" t="s">
        <v>1413</v>
      </c>
      <c r="AH1" s="7" t="s">
        <v>1414</v>
      </c>
      <c r="AI1" s="7" t="s">
        <v>1415</v>
      </c>
      <c r="AJ1" s="7" t="s">
        <v>1416</v>
      </c>
      <c r="AK1" s="7" t="s">
        <v>1417</v>
      </c>
      <c r="AL1" s="6" t="s">
        <v>30</v>
      </c>
      <c r="AM1" s="7" t="s">
        <v>2196</v>
      </c>
      <c r="AN1" s="7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</row>
    <row r="2" customHeight="1" spans="1:46">
      <c r="A2" s="9" t="s">
        <v>1998</v>
      </c>
      <c r="B2" s="9" t="s">
        <v>1999</v>
      </c>
      <c r="C2" s="9" t="s">
        <v>2000</v>
      </c>
      <c r="D2" s="10" t="s">
        <v>2001</v>
      </c>
      <c r="E2" s="9" t="s">
        <v>2001</v>
      </c>
      <c r="F2" s="9" t="s">
        <v>2002</v>
      </c>
      <c r="G2" s="9" t="s">
        <v>2003</v>
      </c>
      <c r="H2" s="9" t="s">
        <v>2004</v>
      </c>
      <c r="I2" s="11"/>
      <c r="J2" s="11"/>
      <c r="K2" s="11"/>
      <c r="L2" s="11" t="s">
        <v>2005</v>
      </c>
      <c r="M2" s="10" t="s">
        <v>1004</v>
      </c>
      <c r="N2" s="9" t="s">
        <v>2197</v>
      </c>
      <c r="O2" s="9"/>
      <c r="P2" s="9" t="s">
        <v>2006</v>
      </c>
      <c r="Q2" s="9">
        <v>13896876576</v>
      </c>
      <c r="R2" s="11" t="s">
        <v>2007</v>
      </c>
      <c r="S2" s="10" t="s">
        <v>2008</v>
      </c>
      <c r="T2" s="9"/>
      <c r="U2" s="9" t="s">
        <v>2006</v>
      </c>
      <c r="V2" s="9">
        <v>13896876570</v>
      </c>
      <c r="W2" s="10" t="s">
        <v>2009</v>
      </c>
      <c r="X2" s="10" t="s">
        <v>2008</v>
      </c>
      <c r="Y2" s="12" t="s">
        <v>2010</v>
      </c>
      <c r="Z2" s="13" t="s">
        <v>2014</v>
      </c>
      <c r="AA2" s="14" t="s">
        <v>2198</v>
      </c>
      <c r="AB2" s="13" t="s">
        <v>2012</v>
      </c>
      <c r="AC2" s="9" t="s">
        <v>2013</v>
      </c>
      <c r="AD2" s="15"/>
      <c r="AE2" s="16"/>
      <c r="AF2" s="16"/>
      <c r="AG2" s="17"/>
      <c r="AH2" s="18"/>
      <c r="AI2" s="19"/>
      <c r="AJ2" s="19"/>
      <c r="AK2" s="19"/>
      <c r="AL2" s="13" t="s">
        <v>2014</v>
      </c>
      <c r="AM2" s="15"/>
      <c r="AN2" s="20"/>
      <c r="AO2" s="20"/>
      <c r="AP2" s="20"/>
      <c r="AQ2" s="20"/>
      <c r="AR2" s="20"/>
      <c r="AS2" s="20"/>
      <c r="AT2" s="20"/>
    </row>
    <row r="3" customHeight="1" spans="1:46">
      <c r="A3" s="9" t="s">
        <v>1998</v>
      </c>
      <c r="B3" s="9" t="s">
        <v>1999</v>
      </c>
      <c r="C3" s="9" t="s">
        <v>2000</v>
      </c>
      <c r="D3" s="10" t="s">
        <v>2001</v>
      </c>
      <c r="E3" s="9" t="s">
        <v>2001</v>
      </c>
      <c r="F3" s="9" t="s">
        <v>2002</v>
      </c>
      <c r="G3" s="9" t="s">
        <v>2003</v>
      </c>
      <c r="H3" s="9" t="s">
        <v>2004</v>
      </c>
      <c r="I3" s="11"/>
      <c r="J3" s="11"/>
      <c r="K3" s="11"/>
      <c r="L3" s="11" t="s">
        <v>2015</v>
      </c>
      <c r="M3" s="10" t="s">
        <v>2016</v>
      </c>
      <c r="N3" s="9" t="s">
        <v>2197</v>
      </c>
      <c r="O3" s="9"/>
      <c r="P3" s="9" t="s">
        <v>2006</v>
      </c>
      <c r="Q3" s="9">
        <v>13896876576</v>
      </c>
      <c r="R3" s="11" t="s">
        <v>2017</v>
      </c>
      <c r="S3" s="10" t="s">
        <v>2018</v>
      </c>
      <c r="T3" s="9"/>
      <c r="U3" s="9" t="s">
        <v>2006</v>
      </c>
      <c r="V3" s="9">
        <v>13896876570</v>
      </c>
      <c r="W3" s="10" t="s">
        <v>2019</v>
      </c>
      <c r="X3" s="10" t="s">
        <v>2018</v>
      </c>
      <c r="Y3" s="12" t="s">
        <v>2020</v>
      </c>
      <c r="Z3" s="13" t="s">
        <v>2024</v>
      </c>
      <c r="AA3" s="14" t="s">
        <v>2199</v>
      </c>
      <c r="AB3" s="13" t="s">
        <v>2022</v>
      </c>
      <c r="AC3" s="9" t="s">
        <v>2023</v>
      </c>
      <c r="AD3" s="15"/>
      <c r="AE3" s="16"/>
      <c r="AF3" s="16"/>
      <c r="AG3" s="17"/>
      <c r="AH3" s="18"/>
      <c r="AI3" s="19"/>
      <c r="AJ3" s="19"/>
      <c r="AK3" s="19"/>
      <c r="AL3" s="13" t="s">
        <v>2024</v>
      </c>
      <c r="AM3" s="15"/>
      <c r="AN3" s="20"/>
      <c r="AO3" s="20"/>
      <c r="AP3" s="20"/>
      <c r="AQ3" s="20"/>
      <c r="AR3" s="20"/>
      <c r="AS3" s="20"/>
      <c r="AT3" s="20"/>
    </row>
    <row r="4" customHeight="1" spans="1:46">
      <c r="A4" s="9" t="s">
        <v>1998</v>
      </c>
      <c r="B4" s="9" t="s">
        <v>1999</v>
      </c>
      <c r="C4" s="9" t="s">
        <v>2000</v>
      </c>
      <c r="D4" s="10" t="s">
        <v>2001</v>
      </c>
      <c r="E4" s="9" t="s">
        <v>2001</v>
      </c>
      <c r="F4" s="9" t="s">
        <v>2002</v>
      </c>
      <c r="G4" s="9" t="s">
        <v>2003</v>
      </c>
      <c r="H4" s="9" t="s">
        <v>2004</v>
      </c>
      <c r="I4" s="11"/>
      <c r="J4" s="11"/>
      <c r="K4" s="11"/>
      <c r="L4" s="11" t="s">
        <v>2015</v>
      </c>
      <c r="M4" s="10" t="s">
        <v>2016</v>
      </c>
      <c r="N4" s="9" t="s">
        <v>2197</v>
      </c>
      <c r="O4" s="9"/>
      <c r="P4" s="9" t="s">
        <v>2006</v>
      </c>
      <c r="Q4" s="9">
        <v>13896876576</v>
      </c>
      <c r="R4" s="11" t="s">
        <v>2017</v>
      </c>
      <c r="S4" s="10" t="s">
        <v>2018</v>
      </c>
      <c r="T4" s="9"/>
      <c r="U4" s="9" t="s">
        <v>2006</v>
      </c>
      <c r="V4" s="9">
        <v>13896876570</v>
      </c>
      <c r="W4" s="10" t="s">
        <v>2019</v>
      </c>
      <c r="X4" s="10" t="s">
        <v>2018</v>
      </c>
      <c r="Y4" s="12" t="s">
        <v>2025</v>
      </c>
      <c r="Z4" s="13" t="s">
        <v>2027</v>
      </c>
      <c r="AA4" s="14" t="s">
        <v>2200</v>
      </c>
      <c r="AB4" s="13" t="s">
        <v>2022</v>
      </c>
      <c r="AC4" s="9" t="s">
        <v>2023</v>
      </c>
      <c r="AD4" s="15"/>
      <c r="AE4" s="16"/>
      <c r="AF4" s="16"/>
      <c r="AG4" s="17"/>
      <c r="AH4" s="18"/>
      <c r="AI4" s="19"/>
      <c r="AJ4" s="19"/>
      <c r="AK4" s="19"/>
      <c r="AL4" s="13" t="s">
        <v>2027</v>
      </c>
      <c r="AM4" s="15"/>
      <c r="AN4" s="20"/>
      <c r="AO4" s="20"/>
      <c r="AP4" s="20"/>
      <c r="AQ4" s="20"/>
      <c r="AR4" s="20"/>
      <c r="AS4" s="20"/>
      <c r="AT4" s="20"/>
    </row>
    <row r="5" customHeight="1" spans="1:46">
      <c r="A5" s="9" t="s">
        <v>1998</v>
      </c>
      <c r="B5" s="9" t="s">
        <v>1999</v>
      </c>
      <c r="C5" s="9" t="s">
        <v>2000</v>
      </c>
      <c r="D5" s="10" t="s">
        <v>2001</v>
      </c>
      <c r="E5" s="9" t="s">
        <v>2001</v>
      </c>
      <c r="F5" s="9" t="s">
        <v>2002</v>
      </c>
      <c r="G5" s="9" t="s">
        <v>2003</v>
      </c>
      <c r="H5" s="9" t="s">
        <v>2004</v>
      </c>
      <c r="I5" s="11"/>
      <c r="J5" s="11"/>
      <c r="K5" s="11"/>
      <c r="L5" s="11" t="s">
        <v>2015</v>
      </c>
      <c r="M5" s="10" t="s">
        <v>2016</v>
      </c>
      <c r="N5" s="9" t="s">
        <v>2197</v>
      </c>
      <c r="O5" s="9"/>
      <c r="P5" s="9" t="s">
        <v>2006</v>
      </c>
      <c r="Q5" s="9">
        <v>13896876576</v>
      </c>
      <c r="R5" s="11" t="s">
        <v>2017</v>
      </c>
      <c r="S5" s="10" t="s">
        <v>2018</v>
      </c>
      <c r="T5" s="9"/>
      <c r="U5" s="9" t="s">
        <v>2006</v>
      </c>
      <c r="V5" s="9">
        <v>13896876570</v>
      </c>
      <c r="W5" s="10" t="s">
        <v>2019</v>
      </c>
      <c r="X5" s="10" t="s">
        <v>2018</v>
      </c>
      <c r="Y5" s="12" t="s">
        <v>2028</v>
      </c>
      <c r="Z5" s="13" t="s">
        <v>2030</v>
      </c>
      <c r="AA5" s="14" t="s">
        <v>2201</v>
      </c>
      <c r="AB5" s="13" t="s">
        <v>2022</v>
      </c>
      <c r="AC5" s="9" t="s">
        <v>2023</v>
      </c>
      <c r="AD5" s="15"/>
      <c r="AE5" s="16"/>
      <c r="AF5" s="16"/>
      <c r="AG5" s="17"/>
      <c r="AH5" s="18"/>
      <c r="AI5" s="19"/>
      <c r="AJ5" s="19"/>
      <c r="AK5" s="19"/>
      <c r="AL5" s="13" t="s">
        <v>2030</v>
      </c>
      <c r="AM5" s="15"/>
      <c r="AN5" s="20"/>
      <c r="AO5" s="20"/>
      <c r="AP5" s="20"/>
      <c r="AQ5" s="20"/>
      <c r="AR5" s="20"/>
      <c r="AS5" s="20"/>
      <c r="AT5" s="20"/>
    </row>
    <row r="6" customHeight="1" spans="1:46">
      <c r="A6" s="9" t="s">
        <v>1998</v>
      </c>
      <c r="B6" s="9" t="s">
        <v>1999</v>
      </c>
      <c r="C6" s="9" t="s">
        <v>2000</v>
      </c>
      <c r="D6" s="10" t="s">
        <v>2001</v>
      </c>
      <c r="E6" s="9" t="s">
        <v>2001</v>
      </c>
      <c r="F6" s="9" t="s">
        <v>2002</v>
      </c>
      <c r="G6" s="9" t="s">
        <v>2003</v>
      </c>
      <c r="H6" s="9" t="s">
        <v>2004</v>
      </c>
      <c r="I6" s="11"/>
      <c r="J6" s="11"/>
      <c r="K6" s="11"/>
      <c r="L6" s="11" t="s">
        <v>2015</v>
      </c>
      <c r="M6" s="10" t="s">
        <v>2016</v>
      </c>
      <c r="N6" s="9" t="s">
        <v>2197</v>
      </c>
      <c r="O6" s="9"/>
      <c r="P6" s="9" t="s">
        <v>2006</v>
      </c>
      <c r="Q6" s="9">
        <v>13896876576</v>
      </c>
      <c r="R6" s="11" t="s">
        <v>2017</v>
      </c>
      <c r="S6" s="10" t="s">
        <v>2018</v>
      </c>
      <c r="T6" s="9"/>
      <c r="U6" s="9" t="s">
        <v>2006</v>
      </c>
      <c r="V6" s="9">
        <v>13896876570</v>
      </c>
      <c r="W6" s="10" t="s">
        <v>2019</v>
      </c>
      <c r="X6" s="10" t="s">
        <v>2018</v>
      </c>
      <c r="Y6" s="12" t="s">
        <v>2031</v>
      </c>
      <c r="Z6" s="13" t="s">
        <v>2033</v>
      </c>
      <c r="AA6" s="14" t="s">
        <v>2202</v>
      </c>
      <c r="AB6" s="13" t="s">
        <v>2022</v>
      </c>
      <c r="AC6" s="9" t="s">
        <v>2023</v>
      </c>
      <c r="AD6" s="15"/>
      <c r="AE6" s="16"/>
      <c r="AF6" s="16"/>
      <c r="AG6" s="17"/>
      <c r="AH6" s="18"/>
      <c r="AI6" s="19"/>
      <c r="AJ6" s="19"/>
      <c r="AK6" s="19"/>
      <c r="AL6" s="13" t="s">
        <v>2033</v>
      </c>
      <c r="AM6" s="15"/>
      <c r="AN6" s="20"/>
      <c r="AO6" s="20"/>
      <c r="AP6" s="20"/>
      <c r="AQ6" s="20"/>
      <c r="AR6" s="20"/>
      <c r="AS6" s="20"/>
      <c r="AT6" s="20"/>
    </row>
    <row r="7" customHeight="1" spans="1:46">
      <c r="A7" s="9" t="s">
        <v>1998</v>
      </c>
      <c r="B7" s="9" t="s">
        <v>1999</v>
      </c>
      <c r="C7" s="9" t="s">
        <v>2000</v>
      </c>
      <c r="D7" s="10" t="s">
        <v>2034</v>
      </c>
      <c r="E7" s="9" t="s">
        <v>2034</v>
      </c>
      <c r="F7" s="9" t="s">
        <v>2002</v>
      </c>
      <c r="G7" s="9" t="s">
        <v>2003</v>
      </c>
      <c r="H7" s="9" t="s">
        <v>2004</v>
      </c>
      <c r="I7" s="11"/>
      <c r="J7" s="11"/>
      <c r="K7" s="11"/>
      <c r="L7" s="11" t="s">
        <v>2005</v>
      </c>
      <c r="M7" s="10" t="s">
        <v>1004</v>
      </c>
      <c r="N7" s="9" t="s">
        <v>2197</v>
      </c>
      <c r="O7" s="9"/>
      <c r="P7" s="9" t="s">
        <v>2035</v>
      </c>
      <c r="Q7" s="9">
        <v>13896876576</v>
      </c>
      <c r="R7" s="11" t="s">
        <v>2036</v>
      </c>
      <c r="S7" s="10" t="s">
        <v>2037</v>
      </c>
      <c r="T7" s="9"/>
      <c r="U7" s="9" t="s">
        <v>2035</v>
      </c>
      <c r="V7" s="9">
        <v>13737327419</v>
      </c>
      <c r="W7" s="10" t="s">
        <v>2038</v>
      </c>
      <c r="X7" s="10" t="s">
        <v>2037</v>
      </c>
      <c r="Y7" s="12" t="s">
        <v>2039</v>
      </c>
      <c r="Z7" s="13" t="s">
        <v>2043</v>
      </c>
      <c r="AA7" s="14" t="s">
        <v>2203</v>
      </c>
      <c r="AB7" s="13" t="s">
        <v>2041</v>
      </c>
      <c r="AC7" s="9" t="s">
        <v>2042</v>
      </c>
      <c r="AD7" s="15"/>
      <c r="AE7" s="16"/>
      <c r="AF7" s="16"/>
      <c r="AG7" s="17"/>
      <c r="AH7" s="18"/>
      <c r="AI7" s="19"/>
      <c r="AJ7" s="19"/>
      <c r="AK7" s="19"/>
      <c r="AL7" s="13" t="s">
        <v>2043</v>
      </c>
      <c r="AM7" s="15"/>
      <c r="AN7" s="20"/>
      <c r="AO7" s="20"/>
      <c r="AP7" s="20"/>
      <c r="AQ7" s="20"/>
      <c r="AR7" s="20"/>
      <c r="AS7" s="20"/>
      <c r="AT7" s="20"/>
    </row>
    <row r="8" customHeight="1" spans="1:46">
      <c r="A8" s="9" t="s">
        <v>1998</v>
      </c>
      <c r="B8" s="9" t="s">
        <v>1999</v>
      </c>
      <c r="C8" s="9" t="s">
        <v>2000</v>
      </c>
      <c r="D8" s="10" t="s">
        <v>2034</v>
      </c>
      <c r="E8" s="9" t="s">
        <v>2034</v>
      </c>
      <c r="F8" s="9" t="s">
        <v>2002</v>
      </c>
      <c r="G8" s="9" t="s">
        <v>2003</v>
      </c>
      <c r="H8" s="9" t="s">
        <v>2004</v>
      </c>
      <c r="I8" s="11"/>
      <c r="J8" s="11"/>
      <c r="K8" s="11"/>
      <c r="L8" s="11" t="s">
        <v>2005</v>
      </c>
      <c r="M8" s="10" t="s">
        <v>1004</v>
      </c>
      <c r="N8" s="9" t="s">
        <v>2197</v>
      </c>
      <c r="O8" s="9"/>
      <c r="P8" s="9" t="s">
        <v>2035</v>
      </c>
      <c r="Q8" s="9">
        <v>13896876576</v>
      </c>
      <c r="R8" s="11" t="s">
        <v>2036</v>
      </c>
      <c r="S8" s="10" t="s">
        <v>2037</v>
      </c>
      <c r="T8" s="9"/>
      <c r="U8" s="9" t="s">
        <v>2035</v>
      </c>
      <c r="V8" s="9">
        <v>19267785948</v>
      </c>
      <c r="W8" s="10" t="s">
        <v>2038</v>
      </c>
      <c r="X8" s="10" t="s">
        <v>2037</v>
      </c>
      <c r="Y8" s="12" t="s">
        <v>2044</v>
      </c>
      <c r="Z8" s="13" t="s">
        <v>2047</v>
      </c>
      <c r="AA8" s="14" t="s">
        <v>2204</v>
      </c>
      <c r="AB8" s="13" t="s">
        <v>2046</v>
      </c>
      <c r="AC8" s="9" t="s">
        <v>2042</v>
      </c>
      <c r="AD8" s="15"/>
      <c r="AE8" s="16"/>
      <c r="AF8" s="16"/>
      <c r="AG8" s="17"/>
      <c r="AH8" s="18"/>
      <c r="AI8" s="19"/>
      <c r="AJ8" s="19"/>
      <c r="AK8" s="19"/>
      <c r="AL8" s="13" t="s">
        <v>2047</v>
      </c>
      <c r="AM8" s="15"/>
      <c r="AN8" s="20"/>
      <c r="AO8" s="20"/>
      <c r="AP8" s="20"/>
      <c r="AQ8" s="20"/>
      <c r="AR8" s="20"/>
      <c r="AS8" s="20"/>
      <c r="AT8" s="20"/>
    </row>
    <row r="9" customHeight="1" spans="1:46">
      <c r="A9" s="9" t="s">
        <v>1998</v>
      </c>
      <c r="B9" s="9" t="s">
        <v>1999</v>
      </c>
      <c r="C9" s="9" t="s">
        <v>2000</v>
      </c>
      <c r="D9" s="10" t="s">
        <v>2034</v>
      </c>
      <c r="E9" s="9" t="s">
        <v>2034</v>
      </c>
      <c r="F9" s="9" t="s">
        <v>2002</v>
      </c>
      <c r="G9" s="9" t="s">
        <v>2003</v>
      </c>
      <c r="H9" s="9" t="s">
        <v>2004</v>
      </c>
      <c r="I9" s="11"/>
      <c r="J9" s="11"/>
      <c r="K9" s="11"/>
      <c r="L9" s="11" t="s">
        <v>2005</v>
      </c>
      <c r="M9" s="10" t="s">
        <v>1004</v>
      </c>
      <c r="N9" s="9" t="s">
        <v>2197</v>
      </c>
      <c r="O9" s="9"/>
      <c r="P9" s="9" t="s">
        <v>2035</v>
      </c>
      <c r="Q9" s="9">
        <v>13896876576</v>
      </c>
      <c r="R9" s="11" t="s">
        <v>2036</v>
      </c>
      <c r="S9" s="10" t="s">
        <v>2037</v>
      </c>
      <c r="T9" s="9"/>
      <c r="U9" s="9" t="s">
        <v>2035</v>
      </c>
      <c r="V9" s="9">
        <v>19267785948</v>
      </c>
      <c r="W9" s="10" t="s">
        <v>2038</v>
      </c>
      <c r="X9" s="10" t="s">
        <v>2037</v>
      </c>
      <c r="Y9" s="12" t="s">
        <v>2048</v>
      </c>
      <c r="Z9" s="13" t="s">
        <v>2051</v>
      </c>
      <c r="AA9" s="14" t="s">
        <v>2205</v>
      </c>
      <c r="AB9" s="13" t="s">
        <v>2050</v>
      </c>
      <c r="AC9" s="9" t="s">
        <v>2042</v>
      </c>
      <c r="AD9" s="15"/>
      <c r="AE9" s="16"/>
      <c r="AF9" s="16"/>
      <c r="AG9" s="17"/>
      <c r="AH9" s="18"/>
      <c r="AI9" s="19"/>
      <c r="AJ9" s="19"/>
      <c r="AK9" s="19"/>
      <c r="AL9" s="13" t="s">
        <v>2051</v>
      </c>
      <c r="AM9" s="15"/>
      <c r="AN9" s="20"/>
      <c r="AO9" s="20"/>
      <c r="AP9" s="20"/>
      <c r="AQ9" s="20"/>
      <c r="AR9" s="20"/>
      <c r="AS9" s="20"/>
      <c r="AT9" s="20"/>
    </row>
    <row r="10" customHeight="1" spans="1:46">
      <c r="A10" s="9" t="s">
        <v>1998</v>
      </c>
      <c r="B10" s="9" t="s">
        <v>1999</v>
      </c>
      <c r="C10" s="9" t="s">
        <v>2000</v>
      </c>
      <c r="D10" s="10" t="s">
        <v>2034</v>
      </c>
      <c r="E10" s="9" t="s">
        <v>2034</v>
      </c>
      <c r="F10" s="9" t="s">
        <v>2002</v>
      </c>
      <c r="G10" s="9" t="s">
        <v>2003</v>
      </c>
      <c r="H10" s="9" t="s">
        <v>2004</v>
      </c>
      <c r="I10" s="11"/>
      <c r="J10" s="11"/>
      <c r="K10" s="11"/>
      <c r="L10" s="11" t="s">
        <v>2052</v>
      </c>
      <c r="M10" s="10" t="s">
        <v>2053</v>
      </c>
      <c r="N10" s="9" t="s">
        <v>2197</v>
      </c>
      <c r="O10" s="9"/>
      <c r="P10" s="9" t="s">
        <v>2054</v>
      </c>
      <c r="Q10" s="9">
        <v>13896876576</v>
      </c>
      <c r="R10" s="11" t="s">
        <v>2055</v>
      </c>
      <c r="S10" s="10" t="s">
        <v>2056</v>
      </c>
      <c r="T10" s="9"/>
      <c r="U10" s="9" t="s">
        <v>2054</v>
      </c>
      <c r="V10" s="9">
        <v>15183822517</v>
      </c>
      <c r="W10" s="10" t="s">
        <v>2057</v>
      </c>
      <c r="X10" s="10" t="s">
        <v>2056</v>
      </c>
      <c r="Y10" s="12" t="s">
        <v>2058</v>
      </c>
      <c r="Z10" s="13" t="s">
        <v>2061</v>
      </c>
      <c r="AA10" s="14" t="s">
        <v>2206</v>
      </c>
      <c r="AB10" s="13" t="s">
        <v>2060</v>
      </c>
      <c r="AC10" s="9" t="s">
        <v>2042</v>
      </c>
      <c r="AD10" s="15"/>
      <c r="AE10" s="16"/>
      <c r="AF10" s="16"/>
      <c r="AG10" s="17"/>
      <c r="AH10" s="18"/>
      <c r="AI10" s="19"/>
      <c r="AJ10" s="19"/>
      <c r="AK10" s="19"/>
      <c r="AL10" s="13" t="s">
        <v>2061</v>
      </c>
      <c r="AM10" s="15"/>
      <c r="AN10" s="20"/>
      <c r="AO10" s="20"/>
      <c r="AP10" s="20"/>
      <c r="AQ10" s="20"/>
      <c r="AR10" s="20"/>
      <c r="AS10" s="20"/>
      <c r="AT10" s="20"/>
    </row>
    <row r="11" customHeight="1" spans="1:46">
      <c r="A11" s="9" t="s">
        <v>1998</v>
      </c>
      <c r="B11" s="9" t="s">
        <v>1999</v>
      </c>
      <c r="C11" s="9" t="s">
        <v>2000</v>
      </c>
      <c r="D11" s="10" t="s">
        <v>2062</v>
      </c>
      <c r="E11" s="9" t="s">
        <v>2062</v>
      </c>
      <c r="F11" s="9" t="s">
        <v>2002</v>
      </c>
      <c r="G11" s="9" t="s">
        <v>2003</v>
      </c>
      <c r="H11" s="9" t="s">
        <v>2004</v>
      </c>
      <c r="I11" s="11"/>
      <c r="J11" s="11"/>
      <c r="K11" s="11"/>
      <c r="L11" s="11" t="s">
        <v>2063</v>
      </c>
      <c r="M11" s="10" t="s">
        <v>2064</v>
      </c>
      <c r="N11" s="9" t="s">
        <v>2197</v>
      </c>
      <c r="O11" s="9"/>
      <c r="P11" s="9" t="s">
        <v>2054</v>
      </c>
      <c r="Q11" s="9">
        <v>13896876576</v>
      </c>
      <c r="R11" s="11" t="s">
        <v>2065</v>
      </c>
      <c r="S11" s="10" t="s">
        <v>2066</v>
      </c>
      <c r="T11" s="9"/>
      <c r="U11" s="9" t="s">
        <v>2054</v>
      </c>
      <c r="V11" s="9">
        <v>15183822517</v>
      </c>
      <c r="W11" s="10" t="s">
        <v>2067</v>
      </c>
      <c r="X11" s="10" t="s">
        <v>2068</v>
      </c>
      <c r="Y11" s="12" t="s">
        <v>2069</v>
      </c>
      <c r="Z11" s="13" t="s">
        <v>2072</v>
      </c>
      <c r="AA11" s="14" t="s">
        <v>2207</v>
      </c>
      <c r="AB11" s="13" t="s">
        <v>2071</v>
      </c>
      <c r="AC11" s="9" t="s">
        <v>2042</v>
      </c>
      <c r="AD11" s="15"/>
      <c r="AE11" s="16"/>
      <c r="AF11" s="16"/>
      <c r="AG11" s="17"/>
      <c r="AH11" s="18"/>
      <c r="AI11" s="19"/>
      <c r="AJ11" s="19"/>
      <c r="AK11" s="19"/>
      <c r="AL11" s="13" t="s">
        <v>2072</v>
      </c>
      <c r="AM11" s="15"/>
      <c r="AN11" s="20"/>
      <c r="AO11" s="20"/>
      <c r="AP11" s="20"/>
      <c r="AQ11" s="20"/>
      <c r="AR11" s="20"/>
      <c r="AS11" s="20"/>
      <c r="AT11" s="20"/>
    </row>
    <row r="12" customHeight="1" spans="1:46">
      <c r="A12" s="9" t="s">
        <v>1998</v>
      </c>
      <c r="B12" s="9" t="s">
        <v>1999</v>
      </c>
      <c r="C12" s="9" t="s">
        <v>2000</v>
      </c>
      <c r="D12" s="10" t="s">
        <v>2062</v>
      </c>
      <c r="E12" s="9" t="s">
        <v>2062</v>
      </c>
      <c r="F12" s="9" t="s">
        <v>2002</v>
      </c>
      <c r="G12" s="9" t="s">
        <v>2003</v>
      </c>
      <c r="H12" s="9" t="s">
        <v>2004</v>
      </c>
      <c r="I12" s="11"/>
      <c r="J12" s="11"/>
      <c r="K12" s="11"/>
      <c r="L12" s="11" t="s">
        <v>2063</v>
      </c>
      <c r="M12" s="10" t="s">
        <v>2064</v>
      </c>
      <c r="N12" s="9" t="s">
        <v>2197</v>
      </c>
      <c r="O12" s="9"/>
      <c r="P12" s="9" t="s">
        <v>2054</v>
      </c>
      <c r="Q12" s="9">
        <v>13896876576</v>
      </c>
      <c r="R12" s="11" t="s">
        <v>2065</v>
      </c>
      <c r="S12" s="10" t="s">
        <v>2066</v>
      </c>
      <c r="T12" s="9"/>
      <c r="U12" s="9" t="s">
        <v>2054</v>
      </c>
      <c r="V12" s="9">
        <v>15183822517</v>
      </c>
      <c r="W12" s="10" t="s">
        <v>2067</v>
      </c>
      <c r="X12" s="10" t="s">
        <v>2068</v>
      </c>
      <c r="Y12" s="12" t="s">
        <v>2073</v>
      </c>
      <c r="Z12" s="13" t="s">
        <v>2075</v>
      </c>
      <c r="AA12" s="14" t="s">
        <v>2208</v>
      </c>
      <c r="AB12" s="13" t="s">
        <v>2071</v>
      </c>
      <c r="AC12" s="9" t="s">
        <v>2042</v>
      </c>
      <c r="AD12" s="15"/>
      <c r="AE12" s="16"/>
      <c r="AF12" s="16"/>
      <c r="AG12" s="17"/>
      <c r="AH12" s="18"/>
      <c r="AI12" s="19"/>
      <c r="AJ12" s="19"/>
      <c r="AK12" s="19"/>
      <c r="AL12" s="13" t="s">
        <v>2075</v>
      </c>
      <c r="AM12" s="15"/>
      <c r="AN12" s="20"/>
      <c r="AO12" s="20"/>
      <c r="AP12" s="20"/>
      <c r="AQ12" s="20"/>
      <c r="AR12" s="20"/>
      <c r="AS12" s="20"/>
      <c r="AT12" s="20"/>
    </row>
    <row r="13" customHeight="1" spans="1:46">
      <c r="A13" s="9" t="s">
        <v>1998</v>
      </c>
      <c r="B13" s="9" t="s">
        <v>1999</v>
      </c>
      <c r="C13" s="9" t="s">
        <v>2000</v>
      </c>
      <c r="D13" s="10" t="s">
        <v>2062</v>
      </c>
      <c r="E13" s="9" t="s">
        <v>2062</v>
      </c>
      <c r="F13" s="9" t="s">
        <v>2002</v>
      </c>
      <c r="G13" s="9" t="s">
        <v>2003</v>
      </c>
      <c r="H13" s="9" t="s">
        <v>2004</v>
      </c>
      <c r="I13" s="11"/>
      <c r="J13" s="11"/>
      <c r="K13" s="11"/>
      <c r="L13" s="11" t="s">
        <v>2063</v>
      </c>
      <c r="M13" s="10" t="s">
        <v>2064</v>
      </c>
      <c r="N13" s="9" t="s">
        <v>2197</v>
      </c>
      <c r="O13" s="9"/>
      <c r="P13" s="9" t="s">
        <v>2054</v>
      </c>
      <c r="Q13" s="9">
        <v>13896876576</v>
      </c>
      <c r="R13" s="11" t="s">
        <v>2065</v>
      </c>
      <c r="S13" s="10" t="s">
        <v>2066</v>
      </c>
      <c r="T13" s="9"/>
      <c r="U13" s="9" t="s">
        <v>2054</v>
      </c>
      <c r="V13" s="9">
        <v>15183822517</v>
      </c>
      <c r="W13" s="10" t="s">
        <v>2067</v>
      </c>
      <c r="X13" s="10" t="s">
        <v>2068</v>
      </c>
      <c r="Y13" s="12" t="s">
        <v>2076</v>
      </c>
      <c r="Z13" s="13" t="s">
        <v>2078</v>
      </c>
      <c r="AA13" s="14" t="s">
        <v>2209</v>
      </c>
      <c r="AB13" s="13" t="s">
        <v>2071</v>
      </c>
      <c r="AC13" s="9" t="s">
        <v>2042</v>
      </c>
      <c r="AD13" s="15"/>
      <c r="AE13" s="16"/>
      <c r="AF13" s="16"/>
      <c r="AG13" s="17"/>
      <c r="AH13" s="18"/>
      <c r="AI13" s="19"/>
      <c r="AJ13" s="19"/>
      <c r="AK13" s="19"/>
      <c r="AL13" s="13" t="s">
        <v>2078</v>
      </c>
      <c r="AM13" s="15"/>
      <c r="AN13" s="20"/>
      <c r="AO13" s="20"/>
      <c r="AP13" s="20"/>
      <c r="AQ13" s="20"/>
      <c r="AR13" s="20"/>
      <c r="AS13" s="20"/>
      <c r="AT13" s="20"/>
    </row>
    <row r="14" customHeight="1" spans="1:46">
      <c r="A14" s="9" t="s">
        <v>1998</v>
      </c>
      <c r="B14" s="9" t="s">
        <v>1999</v>
      </c>
      <c r="C14" s="9" t="s">
        <v>2000</v>
      </c>
      <c r="D14" s="10" t="s">
        <v>2079</v>
      </c>
      <c r="E14" s="9" t="s">
        <v>2079</v>
      </c>
      <c r="F14" s="9" t="s">
        <v>2002</v>
      </c>
      <c r="G14" s="9" t="s">
        <v>2003</v>
      </c>
      <c r="H14" s="9" t="s">
        <v>2004</v>
      </c>
      <c r="I14" s="11"/>
      <c r="J14" s="11"/>
      <c r="K14" s="11"/>
      <c r="L14" s="11" t="s">
        <v>2080</v>
      </c>
      <c r="M14" s="10" t="s">
        <v>2081</v>
      </c>
      <c r="N14" s="9" t="s">
        <v>2210</v>
      </c>
      <c r="O14" s="9"/>
      <c r="P14" s="9" t="s">
        <v>2082</v>
      </c>
      <c r="Q14" s="9">
        <v>13333838368</v>
      </c>
      <c r="R14" s="11" t="s">
        <v>2083</v>
      </c>
      <c r="S14" s="10" t="s">
        <v>2084</v>
      </c>
      <c r="T14" s="9"/>
      <c r="U14" s="9" t="s">
        <v>2085</v>
      </c>
      <c r="V14" s="9">
        <v>13164486789</v>
      </c>
      <c r="W14" s="10" t="s">
        <v>2086</v>
      </c>
      <c r="X14" s="10" t="s">
        <v>2084</v>
      </c>
      <c r="Y14" s="12" t="s">
        <v>2087</v>
      </c>
      <c r="Z14" s="13" t="s">
        <v>2090</v>
      </c>
      <c r="AA14" s="14" t="s">
        <v>2211</v>
      </c>
      <c r="AB14" s="13" t="s">
        <v>2088</v>
      </c>
      <c r="AC14" s="9" t="s">
        <v>2089</v>
      </c>
      <c r="AD14" s="15"/>
      <c r="AE14" s="16"/>
      <c r="AF14" s="16"/>
      <c r="AG14" s="17"/>
      <c r="AH14" s="18"/>
      <c r="AI14" s="19"/>
      <c r="AJ14" s="19"/>
      <c r="AK14" s="19"/>
      <c r="AL14" s="13" t="s">
        <v>2090</v>
      </c>
      <c r="AM14" s="15"/>
      <c r="AN14" s="20"/>
      <c r="AO14" s="20"/>
      <c r="AP14" s="20"/>
      <c r="AQ14" s="20"/>
      <c r="AR14" s="20"/>
      <c r="AS14" s="20"/>
      <c r="AT14" s="20"/>
    </row>
    <row r="15" customHeight="1" spans="1:46">
      <c r="A15" s="9" t="s">
        <v>1998</v>
      </c>
      <c r="B15" s="9" t="s">
        <v>1999</v>
      </c>
      <c r="C15" s="9" t="s">
        <v>2000</v>
      </c>
      <c r="D15" s="10" t="s">
        <v>2091</v>
      </c>
      <c r="E15" s="9" t="s">
        <v>2091</v>
      </c>
      <c r="F15" s="9" t="s">
        <v>2002</v>
      </c>
      <c r="G15" s="9" t="s">
        <v>2003</v>
      </c>
      <c r="H15" s="9" t="s">
        <v>2004</v>
      </c>
      <c r="I15" s="11"/>
      <c r="J15" s="11"/>
      <c r="K15" s="11"/>
      <c r="L15" s="11" t="s">
        <v>2063</v>
      </c>
      <c r="M15" s="10" t="s">
        <v>2064</v>
      </c>
      <c r="N15" s="9" t="s">
        <v>2210</v>
      </c>
      <c r="O15" s="9"/>
      <c r="P15" s="9" t="s">
        <v>2082</v>
      </c>
      <c r="Q15" s="9">
        <v>13333838368</v>
      </c>
      <c r="R15" s="11" t="s">
        <v>2092</v>
      </c>
      <c r="S15" s="10" t="s">
        <v>2093</v>
      </c>
      <c r="T15" s="9"/>
      <c r="U15" s="9" t="s">
        <v>2085</v>
      </c>
      <c r="V15" s="9">
        <v>13164486789</v>
      </c>
      <c r="W15" s="10" t="s">
        <v>2094</v>
      </c>
      <c r="X15" s="10" t="s">
        <v>2093</v>
      </c>
      <c r="Y15" s="12" t="s">
        <v>2095</v>
      </c>
      <c r="Z15" s="13" t="s">
        <v>2098</v>
      </c>
      <c r="AA15" s="14" t="s">
        <v>2212</v>
      </c>
      <c r="AB15" s="13" t="s">
        <v>2096</v>
      </c>
      <c r="AC15" s="9" t="s">
        <v>2097</v>
      </c>
      <c r="AD15" s="15"/>
      <c r="AE15" s="16"/>
      <c r="AF15" s="16"/>
      <c r="AG15" s="17"/>
      <c r="AH15" s="18"/>
      <c r="AI15" s="19"/>
      <c r="AJ15" s="19"/>
      <c r="AK15" s="19"/>
      <c r="AL15" s="13" t="s">
        <v>2098</v>
      </c>
      <c r="AM15" s="15"/>
      <c r="AN15" s="20"/>
      <c r="AO15" s="20"/>
      <c r="AP15" s="20"/>
      <c r="AQ15" s="20"/>
      <c r="AR15" s="20"/>
      <c r="AS15" s="20"/>
      <c r="AT15" s="20"/>
    </row>
    <row r="16" customHeight="1" spans="1:46">
      <c r="A16" s="9" t="s">
        <v>1998</v>
      </c>
      <c r="B16" s="9" t="s">
        <v>1999</v>
      </c>
      <c r="C16" s="9" t="s">
        <v>2000</v>
      </c>
      <c r="D16" s="10" t="s">
        <v>2091</v>
      </c>
      <c r="E16" s="9" t="s">
        <v>2091</v>
      </c>
      <c r="F16" s="9" t="s">
        <v>2002</v>
      </c>
      <c r="G16" s="9" t="s">
        <v>2003</v>
      </c>
      <c r="H16" s="9" t="s">
        <v>2004</v>
      </c>
      <c r="I16" s="11"/>
      <c r="J16" s="11"/>
      <c r="K16" s="11"/>
      <c r="L16" s="11" t="s">
        <v>2005</v>
      </c>
      <c r="M16" s="10" t="s">
        <v>1004</v>
      </c>
      <c r="N16" s="9" t="s">
        <v>2210</v>
      </c>
      <c r="O16" s="9"/>
      <c r="P16" s="9" t="s">
        <v>2082</v>
      </c>
      <c r="Q16" s="9">
        <v>13333838368</v>
      </c>
      <c r="R16" s="11" t="s">
        <v>2099</v>
      </c>
      <c r="S16" s="10" t="s">
        <v>2100</v>
      </c>
      <c r="T16" s="9"/>
      <c r="U16" s="9" t="s">
        <v>2085</v>
      </c>
      <c r="V16" s="9">
        <v>13164486789</v>
      </c>
      <c r="W16" s="10" t="s">
        <v>2101</v>
      </c>
      <c r="X16" s="10" t="s">
        <v>2100</v>
      </c>
      <c r="Y16" s="12" t="s">
        <v>2102</v>
      </c>
      <c r="Z16" s="13" t="s">
        <v>2105</v>
      </c>
      <c r="AA16" s="14" t="s">
        <v>2213</v>
      </c>
      <c r="AB16" s="13" t="s">
        <v>2103</v>
      </c>
      <c r="AC16" s="9" t="s">
        <v>2104</v>
      </c>
      <c r="AD16" s="15"/>
      <c r="AE16" s="16"/>
      <c r="AF16" s="16"/>
      <c r="AG16" s="17"/>
      <c r="AH16" s="18"/>
      <c r="AI16" s="19"/>
      <c r="AJ16" s="19"/>
      <c r="AK16" s="19"/>
      <c r="AL16" s="13" t="s">
        <v>2105</v>
      </c>
      <c r="AM16" s="15"/>
      <c r="AN16" s="20"/>
      <c r="AO16" s="20"/>
      <c r="AP16" s="20"/>
      <c r="AQ16" s="20"/>
      <c r="AR16" s="20"/>
      <c r="AS16" s="20"/>
      <c r="AT16" s="20"/>
    </row>
    <row r="17" customHeight="1" spans="1:46">
      <c r="A17" s="9" t="s">
        <v>1998</v>
      </c>
      <c r="B17" s="9" t="s">
        <v>1999</v>
      </c>
      <c r="C17" s="9" t="s">
        <v>2000</v>
      </c>
      <c r="D17" s="10" t="s">
        <v>2106</v>
      </c>
      <c r="E17" s="9" t="s">
        <v>2106</v>
      </c>
      <c r="F17" s="9" t="s">
        <v>2002</v>
      </c>
      <c r="G17" s="9" t="s">
        <v>2003</v>
      </c>
      <c r="H17" s="9" t="s">
        <v>2004</v>
      </c>
      <c r="I17" s="11"/>
      <c r="J17" s="11"/>
      <c r="K17" s="11"/>
      <c r="L17" s="11" t="s">
        <v>2005</v>
      </c>
      <c r="M17" s="10" t="s">
        <v>1004</v>
      </c>
      <c r="N17" s="9" t="s">
        <v>2214</v>
      </c>
      <c r="O17" s="9"/>
      <c r="P17" s="9" t="s">
        <v>2107</v>
      </c>
      <c r="Q17" s="9">
        <v>13377336587</v>
      </c>
      <c r="R17" s="11" t="s">
        <v>2108</v>
      </c>
      <c r="S17" s="10" t="s">
        <v>2109</v>
      </c>
      <c r="T17" s="9"/>
      <c r="U17" s="9" t="s">
        <v>2107</v>
      </c>
      <c r="V17" s="9">
        <v>13377336587</v>
      </c>
      <c r="W17" s="10" t="s">
        <v>2110</v>
      </c>
      <c r="X17" s="10" t="s">
        <v>2109</v>
      </c>
      <c r="Y17" s="12" t="s">
        <v>2111</v>
      </c>
      <c r="Z17" s="13" t="s">
        <v>2115</v>
      </c>
      <c r="AA17" s="14" t="s">
        <v>2215</v>
      </c>
      <c r="AB17" s="13" t="s">
        <v>2113</v>
      </c>
      <c r="AC17" s="9" t="s">
        <v>2114</v>
      </c>
      <c r="AD17" s="15"/>
      <c r="AE17" s="16" t="s">
        <v>2216</v>
      </c>
      <c r="AF17" s="16" t="s">
        <v>2217</v>
      </c>
      <c r="AG17" s="17"/>
      <c r="AH17" s="18"/>
      <c r="AI17" s="19"/>
      <c r="AJ17" s="19"/>
      <c r="AK17" s="19"/>
      <c r="AL17" s="13" t="s">
        <v>2115</v>
      </c>
      <c r="AM17" s="15"/>
      <c r="AN17" s="20"/>
      <c r="AO17" s="20"/>
      <c r="AP17" s="20"/>
      <c r="AQ17" s="20"/>
      <c r="AR17" s="20"/>
      <c r="AS17" s="20"/>
      <c r="AT17" s="20"/>
    </row>
    <row r="18" customHeight="1" spans="1:46">
      <c r="A18" s="9" t="s">
        <v>1998</v>
      </c>
      <c r="B18" s="9" t="s">
        <v>1999</v>
      </c>
      <c r="C18" s="9" t="s">
        <v>2000</v>
      </c>
      <c r="D18" s="10" t="s">
        <v>2106</v>
      </c>
      <c r="E18" s="9" t="s">
        <v>2106</v>
      </c>
      <c r="F18" s="9" t="s">
        <v>2002</v>
      </c>
      <c r="G18" s="9" t="s">
        <v>2003</v>
      </c>
      <c r="H18" s="9" t="s">
        <v>2004</v>
      </c>
      <c r="I18" s="11"/>
      <c r="J18" s="11"/>
      <c r="K18" s="11"/>
      <c r="L18" s="11" t="s">
        <v>2005</v>
      </c>
      <c r="M18" s="10" t="s">
        <v>1004</v>
      </c>
      <c r="N18" s="9" t="s">
        <v>2214</v>
      </c>
      <c r="O18" s="9"/>
      <c r="P18" s="9" t="s">
        <v>2107</v>
      </c>
      <c r="Q18" s="9">
        <v>13377336587</v>
      </c>
      <c r="R18" s="11" t="s">
        <v>2108</v>
      </c>
      <c r="S18" s="10" t="s">
        <v>2109</v>
      </c>
      <c r="T18" s="9"/>
      <c r="U18" s="9" t="s">
        <v>2107</v>
      </c>
      <c r="V18" s="9">
        <v>13377336587</v>
      </c>
      <c r="W18" s="10" t="s">
        <v>2110</v>
      </c>
      <c r="X18" s="10" t="s">
        <v>2109</v>
      </c>
      <c r="Y18" s="12" t="s">
        <v>2116</v>
      </c>
      <c r="Z18" s="13" t="s">
        <v>2120</v>
      </c>
      <c r="AA18" s="14" t="s">
        <v>2218</v>
      </c>
      <c r="AB18" s="13" t="s">
        <v>2118</v>
      </c>
      <c r="AC18" s="9" t="s">
        <v>2119</v>
      </c>
      <c r="AD18" s="15"/>
      <c r="AE18" s="16" t="s">
        <v>2219</v>
      </c>
      <c r="AF18" s="16" t="s">
        <v>2220</v>
      </c>
      <c r="AG18" s="17"/>
      <c r="AH18" s="18"/>
      <c r="AI18" s="19"/>
      <c r="AJ18" s="19"/>
      <c r="AK18" s="19"/>
      <c r="AL18" s="13" t="s">
        <v>2120</v>
      </c>
      <c r="AM18" s="15"/>
      <c r="AN18" s="20"/>
      <c r="AO18" s="20"/>
      <c r="AP18" s="20"/>
      <c r="AQ18" s="20"/>
      <c r="AR18" s="20"/>
      <c r="AS18" s="20"/>
      <c r="AT18" s="20"/>
    </row>
    <row r="19" s="1" customFormat="1" customHeight="1" spans="1:46">
      <c r="A19" s="21" t="s">
        <v>1998</v>
      </c>
      <c r="B19" s="21" t="s">
        <v>1999</v>
      </c>
      <c r="C19" s="21" t="s">
        <v>2000</v>
      </c>
      <c r="D19" s="22" t="s">
        <v>2106</v>
      </c>
      <c r="E19" s="21" t="s">
        <v>2106</v>
      </c>
      <c r="F19" s="21" t="s">
        <v>2002</v>
      </c>
      <c r="G19" s="21" t="s">
        <v>2003</v>
      </c>
      <c r="H19" s="21" t="s">
        <v>2004</v>
      </c>
      <c r="I19" s="23"/>
      <c r="J19" s="23"/>
      <c r="K19" s="23"/>
      <c r="L19" s="23" t="s">
        <v>2005</v>
      </c>
      <c r="M19" s="22" t="s">
        <v>1004</v>
      </c>
      <c r="N19" s="21" t="s">
        <v>2214</v>
      </c>
      <c r="O19" s="21"/>
      <c r="P19" s="21" t="s">
        <v>2107</v>
      </c>
      <c r="Q19" s="21">
        <v>13377336587</v>
      </c>
      <c r="R19" s="23" t="s">
        <v>2121</v>
      </c>
      <c r="S19" s="22" t="s">
        <v>2122</v>
      </c>
      <c r="T19" s="21"/>
      <c r="U19" s="21" t="s">
        <v>2107</v>
      </c>
      <c r="V19" s="21">
        <v>13377336587</v>
      </c>
      <c r="W19" s="22" t="s">
        <v>2123</v>
      </c>
      <c r="X19" s="22" t="s">
        <v>2122</v>
      </c>
      <c r="Y19" s="24" t="s">
        <v>2124</v>
      </c>
      <c r="Z19" s="21" t="s">
        <v>2127</v>
      </c>
      <c r="AA19" s="25" t="s">
        <v>2221</v>
      </c>
      <c r="AB19" s="21" t="s">
        <v>2126</v>
      </c>
      <c r="AC19" s="21" t="s">
        <v>2119</v>
      </c>
      <c r="AD19" s="26"/>
      <c r="AE19" s="1">
        <v>1026.97</v>
      </c>
      <c r="AF19" s="27" t="s">
        <v>2222</v>
      </c>
      <c r="AG19" s="28"/>
      <c r="AH19" s="29"/>
      <c r="AI19" s="30"/>
      <c r="AJ19" s="30"/>
      <c r="AK19" s="30"/>
      <c r="AL19" s="21" t="s">
        <v>2127</v>
      </c>
      <c r="AM19" s="26"/>
      <c r="AN19" s="31"/>
      <c r="AO19" s="31"/>
      <c r="AP19" s="31"/>
      <c r="AQ19" s="31"/>
      <c r="AR19" s="31"/>
      <c r="AS19" s="31"/>
      <c r="AT19" s="31"/>
    </row>
    <row r="20" s="1" customFormat="1" customHeight="1" spans="1:46">
      <c r="A20" s="21" t="s">
        <v>1998</v>
      </c>
      <c r="B20" s="21" t="s">
        <v>1999</v>
      </c>
      <c r="C20" s="21" t="s">
        <v>2000</v>
      </c>
      <c r="D20" s="22" t="s">
        <v>2106</v>
      </c>
      <c r="E20" s="21" t="s">
        <v>2106</v>
      </c>
      <c r="F20" s="21" t="s">
        <v>2002</v>
      </c>
      <c r="G20" s="21" t="s">
        <v>2003</v>
      </c>
      <c r="H20" s="21" t="s">
        <v>2004</v>
      </c>
      <c r="I20" s="23"/>
      <c r="J20" s="23"/>
      <c r="K20" s="23"/>
      <c r="L20" s="23" t="s">
        <v>2005</v>
      </c>
      <c r="M20" s="22" t="s">
        <v>1004</v>
      </c>
      <c r="N20" s="21" t="s">
        <v>2214</v>
      </c>
      <c r="O20" s="21"/>
      <c r="P20" s="21" t="s">
        <v>2107</v>
      </c>
      <c r="Q20" s="21">
        <v>13377336587</v>
      </c>
      <c r="R20" s="23" t="s">
        <v>2121</v>
      </c>
      <c r="S20" s="22" t="s">
        <v>2122</v>
      </c>
      <c r="T20" s="21"/>
      <c r="U20" s="21" t="s">
        <v>2107</v>
      </c>
      <c r="V20" s="21">
        <v>13377336587</v>
      </c>
      <c r="W20" s="22" t="s">
        <v>2123</v>
      </c>
      <c r="X20" s="22" t="s">
        <v>2122</v>
      </c>
      <c r="Y20" s="24" t="s">
        <v>2128</v>
      </c>
      <c r="Z20" s="21" t="s">
        <v>2132</v>
      </c>
      <c r="AA20" s="25" t="s">
        <v>2223</v>
      </c>
      <c r="AB20" s="21" t="s">
        <v>2130</v>
      </c>
      <c r="AC20" s="21" t="s">
        <v>2131</v>
      </c>
      <c r="AD20" s="26"/>
      <c r="AE20" s="27" t="s">
        <v>2224</v>
      </c>
      <c r="AF20" s="27" t="s">
        <v>2225</v>
      </c>
      <c r="AG20" s="28"/>
      <c r="AH20" s="29"/>
      <c r="AI20" s="30"/>
      <c r="AJ20" s="30"/>
      <c r="AK20" s="30"/>
      <c r="AL20" s="21" t="s">
        <v>2132</v>
      </c>
      <c r="AM20" s="26"/>
      <c r="AN20" s="31"/>
      <c r="AO20" s="31"/>
      <c r="AP20" s="31"/>
      <c r="AQ20" s="31"/>
      <c r="AR20" s="31"/>
      <c r="AS20" s="31"/>
      <c r="AT20" s="31"/>
    </row>
    <row r="21" s="1" customFormat="1" customHeight="1" spans="1:46">
      <c r="A21" s="21" t="s">
        <v>1998</v>
      </c>
      <c r="B21" s="21" t="s">
        <v>1999</v>
      </c>
      <c r="C21" s="21" t="s">
        <v>2000</v>
      </c>
      <c r="D21" s="22" t="s">
        <v>2106</v>
      </c>
      <c r="E21" s="21" t="s">
        <v>2106</v>
      </c>
      <c r="F21" s="21" t="s">
        <v>2002</v>
      </c>
      <c r="G21" s="21" t="s">
        <v>2003</v>
      </c>
      <c r="H21" s="21" t="s">
        <v>2004</v>
      </c>
      <c r="I21" s="23"/>
      <c r="J21" s="23"/>
      <c r="K21" s="23"/>
      <c r="L21" s="23" t="s">
        <v>2005</v>
      </c>
      <c r="M21" s="22" t="s">
        <v>1004</v>
      </c>
      <c r="N21" s="21" t="s">
        <v>2214</v>
      </c>
      <c r="O21" s="21"/>
      <c r="P21" s="21" t="s">
        <v>2107</v>
      </c>
      <c r="Q21" s="21">
        <v>13377336587</v>
      </c>
      <c r="R21" s="23" t="s">
        <v>2121</v>
      </c>
      <c r="S21" s="22" t="s">
        <v>2122</v>
      </c>
      <c r="T21" s="21"/>
      <c r="U21" s="21" t="s">
        <v>2107</v>
      </c>
      <c r="V21" s="21">
        <v>13377336587</v>
      </c>
      <c r="W21" s="22" t="s">
        <v>2123</v>
      </c>
      <c r="X21" s="22" t="s">
        <v>2122</v>
      </c>
      <c r="Y21" s="24" t="s">
        <v>2133</v>
      </c>
      <c r="Z21" s="21" t="s">
        <v>2135</v>
      </c>
      <c r="AA21" s="25" t="s">
        <v>2226</v>
      </c>
      <c r="AB21" s="21" t="s">
        <v>2130</v>
      </c>
      <c r="AC21" s="32"/>
      <c r="AD21" s="26"/>
      <c r="AE21" s="27" t="s">
        <v>2227</v>
      </c>
      <c r="AF21" s="27" t="s">
        <v>2228</v>
      </c>
      <c r="AG21" s="28"/>
      <c r="AH21" s="29"/>
      <c r="AI21" s="30"/>
      <c r="AJ21" s="30"/>
      <c r="AK21" s="30"/>
      <c r="AL21" s="21" t="s">
        <v>2135</v>
      </c>
      <c r="AM21" s="26"/>
      <c r="AN21" s="31"/>
      <c r="AO21" s="31"/>
      <c r="AP21" s="31"/>
      <c r="AQ21" s="31"/>
      <c r="AR21" s="31"/>
      <c r="AS21" s="31"/>
      <c r="AT21" s="31"/>
    </row>
    <row r="22" s="1" customFormat="1" customHeight="1" spans="1:46">
      <c r="A22" s="21" t="s">
        <v>1998</v>
      </c>
      <c r="B22" s="21" t="s">
        <v>1999</v>
      </c>
      <c r="C22" s="21" t="s">
        <v>2000</v>
      </c>
      <c r="D22" s="22" t="s">
        <v>2106</v>
      </c>
      <c r="E22" s="21" t="s">
        <v>2106</v>
      </c>
      <c r="F22" s="21" t="s">
        <v>2002</v>
      </c>
      <c r="G22" s="21" t="s">
        <v>2003</v>
      </c>
      <c r="H22" s="21" t="s">
        <v>2004</v>
      </c>
      <c r="I22" s="23"/>
      <c r="J22" s="23"/>
      <c r="K22" s="23"/>
      <c r="L22" s="23" t="s">
        <v>2005</v>
      </c>
      <c r="M22" s="22" t="s">
        <v>1004</v>
      </c>
      <c r="N22" s="21" t="s">
        <v>2214</v>
      </c>
      <c r="O22" s="21"/>
      <c r="P22" s="21" t="s">
        <v>2107</v>
      </c>
      <c r="Q22" s="21">
        <v>13377336587</v>
      </c>
      <c r="R22" s="23" t="s">
        <v>2121</v>
      </c>
      <c r="S22" s="22" t="s">
        <v>2122</v>
      </c>
      <c r="T22" s="21"/>
      <c r="U22" s="21" t="s">
        <v>2107</v>
      </c>
      <c r="V22" s="21">
        <v>13377336587</v>
      </c>
      <c r="W22" s="22" t="s">
        <v>2123</v>
      </c>
      <c r="X22" s="22" t="s">
        <v>2122</v>
      </c>
      <c r="Y22" s="24" t="s">
        <v>2136</v>
      </c>
      <c r="Z22" s="21" t="s">
        <v>2138</v>
      </c>
      <c r="AA22" s="25" t="s">
        <v>2229</v>
      </c>
      <c r="AB22" s="21" t="s">
        <v>2130</v>
      </c>
      <c r="AC22" s="21" t="s">
        <v>1765</v>
      </c>
      <c r="AD22" s="26"/>
      <c r="AE22" s="27" t="s">
        <v>2230</v>
      </c>
      <c r="AF22" s="27" t="s">
        <v>2231</v>
      </c>
      <c r="AG22" s="28"/>
      <c r="AH22" s="29"/>
      <c r="AI22" s="30"/>
      <c r="AJ22" s="30"/>
      <c r="AK22" s="30"/>
      <c r="AL22" s="21" t="s">
        <v>2138</v>
      </c>
      <c r="AM22" s="26"/>
      <c r="AN22" s="31"/>
      <c r="AO22" s="31"/>
      <c r="AP22" s="31"/>
      <c r="AQ22" s="31"/>
      <c r="AR22" s="31"/>
      <c r="AS22" s="31"/>
      <c r="AT22" s="31"/>
    </row>
    <row r="23" customHeight="1" spans="1:46">
      <c r="A23" s="9" t="s">
        <v>1998</v>
      </c>
      <c r="B23" s="9" t="s">
        <v>1999</v>
      </c>
      <c r="C23" s="9" t="s">
        <v>2000</v>
      </c>
      <c r="D23" s="10" t="s">
        <v>2139</v>
      </c>
      <c r="E23" s="9" t="s">
        <v>2139</v>
      </c>
      <c r="F23" s="9" t="s">
        <v>2002</v>
      </c>
      <c r="G23" s="9" t="s">
        <v>2003</v>
      </c>
      <c r="H23" s="9" t="s">
        <v>2004</v>
      </c>
      <c r="I23" s="11"/>
      <c r="J23" s="11"/>
      <c r="K23" s="11"/>
      <c r="L23" s="11" t="s">
        <v>2005</v>
      </c>
      <c r="M23" s="10" t="s">
        <v>1004</v>
      </c>
      <c r="N23" s="9" t="s">
        <v>2214</v>
      </c>
      <c r="O23" s="9"/>
      <c r="P23" s="9" t="s">
        <v>2107</v>
      </c>
      <c r="Q23" s="9">
        <v>13377336587</v>
      </c>
      <c r="R23" s="11" t="s">
        <v>2140</v>
      </c>
      <c r="S23" s="10" t="s">
        <v>2141</v>
      </c>
      <c r="T23" s="9"/>
      <c r="U23" s="9" t="s">
        <v>2107</v>
      </c>
      <c r="V23" s="9">
        <v>13377336587</v>
      </c>
      <c r="W23" s="10" t="s">
        <v>2142</v>
      </c>
      <c r="X23" s="10" t="s">
        <v>2143</v>
      </c>
      <c r="Y23" s="12" t="s">
        <v>2144</v>
      </c>
      <c r="Z23" s="13" t="s">
        <v>2146</v>
      </c>
      <c r="AA23" s="14" t="s">
        <v>2232</v>
      </c>
      <c r="AB23" s="13" t="s">
        <v>2145</v>
      </c>
      <c r="AC23" s="9"/>
      <c r="AD23" s="15"/>
      <c r="AE23" s="16" t="s">
        <v>2233</v>
      </c>
      <c r="AF23" s="16" t="s">
        <v>2234</v>
      </c>
      <c r="AG23" s="17"/>
      <c r="AH23" s="18"/>
      <c r="AI23" s="19"/>
      <c r="AJ23" s="19"/>
      <c r="AK23" s="19"/>
      <c r="AL23" s="13" t="s">
        <v>2146</v>
      </c>
      <c r="AM23" s="15"/>
      <c r="AN23" s="20"/>
      <c r="AO23" s="20"/>
      <c r="AP23" s="20"/>
      <c r="AQ23" s="20"/>
      <c r="AR23" s="20"/>
      <c r="AS23" s="20"/>
      <c r="AT23" s="20"/>
    </row>
    <row r="24" customHeight="1" spans="1:46">
      <c r="A24" s="9"/>
      <c r="B24" s="9"/>
      <c r="C24" s="9"/>
      <c r="D24" s="10"/>
      <c r="E24" s="9"/>
      <c r="F24" s="9"/>
      <c r="G24" s="9"/>
      <c r="H24" s="9"/>
      <c r="I24" s="11"/>
      <c r="J24" s="11"/>
      <c r="K24" s="11"/>
      <c r="L24" s="11"/>
      <c r="M24" s="10"/>
      <c r="N24" s="9"/>
      <c r="O24" s="9"/>
      <c r="P24" s="9"/>
      <c r="Q24" s="9"/>
      <c r="R24" s="11"/>
      <c r="S24" s="10"/>
      <c r="T24" s="9"/>
      <c r="U24" s="9"/>
      <c r="V24" s="9"/>
      <c r="W24" s="10"/>
      <c r="X24" s="10" t="s">
        <v>2235</v>
      </c>
      <c r="Y24" s="12"/>
      <c r="Z24" s="13"/>
      <c r="AA24" s="14"/>
      <c r="AB24" s="13"/>
      <c r="AC24" s="9"/>
      <c r="AD24" s="15"/>
      <c r="AE24" s="16" t="s">
        <v>2236</v>
      </c>
      <c r="AF24" s="16" t="s">
        <v>2237</v>
      </c>
      <c r="AG24" s="17"/>
      <c r="AH24" s="18"/>
      <c r="AI24" s="19"/>
      <c r="AJ24" s="19"/>
      <c r="AK24" s="19"/>
      <c r="AL24" s="13"/>
      <c r="AM24" s="15"/>
      <c r="AN24" s="20"/>
      <c r="AO24" s="20"/>
      <c r="AP24" s="20"/>
      <c r="AQ24" s="20"/>
      <c r="AR24" s="20"/>
      <c r="AS24" s="20"/>
      <c r="AT24" s="20"/>
    </row>
    <row r="25" customHeight="1" spans="1:46">
      <c r="A25" s="9" t="s">
        <v>1998</v>
      </c>
      <c r="B25" s="9" t="s">
        <v>1999</v>
      </c>
      <c r="C25" s="9" t="s">
        <v>2000</v>
      </c>
      <c r="D25" s="10" t="s">
        <v>2147</v>
      </c>
      <c r="E25" s="9" t="s">
        <v>2147</v>
      </c>
      <c r="F25" s="9" t="s">
        <v>2002</v>
      </c>
      <c r="G25" s="9" t="s">
        <v>2003</v>
      </c>
      <c r="H25" s="9" t="s">
        <v>2004</v>
      </c>
      <c r="I25" s="11"/>
      <c r="J25" s="11"/>
      <c r="K25" s="11"/>
      <c r="L25" s="11" t="s">
        <v>2005</v>
      </c>
      <c r="M25" s="10" t="s">
        <v>1004</v>
      </c>
      <c r="N25" s="9" t="s">
        <v>2214</v>
      </c>
      <c r="O25" s="9"/>
      <c r="P25" s="9" t="s">
        <v>2107</v>
      </c>
      <c r="Q25" s="9">
        <v>13377336587</v>
      </c>
      <c r="R25" s="11" t="s">
        <v>2140</v>
      </c>
      <c r="S25" s="10" t="s">
        <v>2141</v>
      </c>
      <c r="T25" s="9"/>
      <c r="U25" s="9" t="s">
        <v>2148</v>
      </c>
      <c r="V25" s="9">
        <v>18623999118</v>
      </c>
      <c r="W25" s="10" t="s">
        <v>2149</v>
      </c>
      <c r="X25" s="10" t="s">
        <v>2141</v>
      </c>
      <c r="Y25" s="12" t="s">
        <v>2150</v>
      </c>
      <c r="Z25" s="13" t="s">
        <v>2153</v>
      </c>
      <c r="AA25" s="14" t="s">
        <v>2238</v>
      </c>
      <c r="AB25" s="13" t="s">
        <v>2151</v>
      </c>
      <c r="AC25" s="9" t="s">
        <v>2152</v>
      </c>
      <c r="AD25" s="15"/>
      <c r="AE25" s="16" t="s">
        <v>2239</v>
      </c>
      <c r="AF25" s="16" t="s">
        <v>2240</v>
      </c>
      <c r="AG25" s="17"/>
      <c r="AH25" s="18"/>
      <c r="AI25" s="19"/>
      <c r="AJ25" s="19"/>
      <c r="AK25" s="19"/>
      <c r="AL25" s="13" t="s">
        <v>2153</v>
      </c>
      <c r="AM25" s="15"/>
      <c r="AN25" s="20"/>
      <c r="AO25" s="20"/>
      <c r="AP25" s="20"/>
      <c r="AQ25" s="20"/>
      <c r="AR25" s="20"/>
      <c r="AS25" s="20"/>
      <c r="AT25" s="20"/>
    </row>
    <row r="26" customHeight="1" spans="1:46">
      <c r="A26" s="9" t="s">
        <v>1998</v>
      </c>
      <c r="B26" s="9" t="s">
        <v>1999</v>
      </c>
      <c r="C26" s="9" t="s">
        <v>2000</v>
      </c>
      <c r="D26" s="10" t="s">
        <v>2154</v>
      </c>
      <c r="E26" s="9" t="s">
        <v>2154</v>
      </c>
      <c r="F26" s="9" t="s">
        <v>2002</v>
      </c>
      <c r="G26" s="9" t="s">
        <v>2003</v>
      </c>
      <c r="H26" s="9" t="s">
        <v>2004</v>
      </c>
      <c r="I26" s="11"/>
      <c r="J26" s="11"/>
      <c r="K26" s="11"/>
      <c r="L26" s="11" t="s">
        <v>2005</v>
      </c>
      <c r="M26" s="10" t="s">
        <v>1004</v>
      </c>
      <c r="N26" s="9" t="s">
        <v>2214</v>
      </c>
      <c r="O26" s="9"/>
      <c r="P26" s="9" t="s">
        <v>2107</v>
      </c>
      <c r="Q26" s="9">
        <v>13377336587</v>
      </c>
      <c r="R26" s="11" t="s">
        <v>2155</v>
      </c>
      <c r="S26" s="10" t="s">
        <v>2156</v>
      </c>
      <c r="T26" s="9"/>
      <c r="U26" s="9" t="s">
        <v>2107</v>
      </c>
      <c r="V26" s="9">
        <v>13377336587</v>
      </c>
      <c r="W26" s="10" t="s">
        <v>2157</v>
      </c>
      <c r="X26" s="10" t="s">
        <v>2156</v>
      </c>
      <c r="Y26" s="12" t="s">
        <v>2158</v>
      </c>
      <c r="Z26" s="13" t="s">
        <v>2160</v>
      </c>
      <c r="AA26" s="14" t="s">
        <v>2241</v>
      </c>
      <c r="AB26" s="13" t="s">
        <v>2159</v>
      </c>
      <c r="AC26" s="9" t="s">
        <v>1786</v>
      </c>
      <c r="AD26" s="15"/>
      <c r="AE26" s="16"/>
      <c r="AF26" s="16"/>
      <c r="AG26" s="17"/>
      <c r="AH26" s="18"/>
      <c r="AI26" s="19"/>
      <c r="AJ26" s="19"/>
      <c r="AK26" s="19"/>
      <c r="AL26" s="13" t="s">
        <v>2160</v>
      </c>
      <c r="AM26" s="15"/>
      <c r="AN26" s="20"/>
      <c r="AO26" s="20"/>
      <c r="AP26" s="20"/>
      <c r="AQ26" s="20"/>
      <c r="AR26" s="20"/>
      <c r="AS26" s="20"/>
      <c r="AT26" s="20"/>
    </row>
    <row r="27" customHeight="1" spans="1:46">
      <c r="A27" s="9" t="s">
        <v>1998</v>
      </c>
      <c r="B27" s="9" t="s">
        <v>1999</v>
      </c>
      <c r="C27" s="9" t="s">
        <v>2000</v>
      </c>
      <c r="D27" s="10" t="s">
        <v>2161</v>
      </c>
      <c r="E27" s="9" t="s">
        <v>2161</v>
      </c>
      <c r="F27" s="9" t="s">
        <v>2002</v>
      </c>
      <c r="G27" s="9" t="s">
        <v>2003</v>
      </c>
      <c r="H27" s="9" t="s">
        <v>2004</v>
      </c>
      <c r="I27" s="11"/>
      <c r="J27" s="11"/>
      <c r="K27" s="11"/>
      <c r="L27" s="11" t="s">
        <v>2005</v>
      </c>
      <c r="M27" s="10" t="s">
        <v>1004</v>
      </c>
      <c r="N27" s="9" t="s">
        <v>2197</v>
      </c>
      <c r="O27" s="9"/>
      <c r="P27" s="9" t="s">
        <v>2162</v>
      </c>
      <c r="Q27" s="9">
        <v>13958522962</v>
      </c>
      <c r="R27" s="11" t="s">
        <v>2163</v>
      </c>
      <c r="S27" s="10" t="s">
        <v>2164</v>
      </c>
      <c r="T27" s="9"/>
      <c r="U27" s="9" t="s">
        <v>2162</v>
      </c>
      <c r="V27" s="9">
        <v>17323618345</v>
      </c>
      <c r="W27" s="10" t="s">
        <v>2165</v>
      </c>
      <c r="X27" s="10" t="s">
        <v>2164</v>
      </c>
      <c r="Y27" s="12" t="s">
        <v>2166</v>
      </c>
      <c r="Z27" s="13" t="s">
        <v>2170</v>
      </c>
      <c r="AA27" s="14" t="s">
        <v>2242</v>
      </c>
      <c r="AB27" s="13" t="s">
        <v>2168</v>
      </c>
      <c r="AC27" s="9" t="s">
        <v>2169</v>
      </c>
      <c r="AD27" s="15"/>
      <c r="AE27" s="16"/>
      <c r="AF27" s="16"/>
      <c r="AG27" s="17"/>
      <c r="AH27" s="18"/>
      <c r="AI27" s="19"/>
      <c r="AJ27" s="19"/>
      <c r="AK27" s="19"/>
      <c r="AL27" s="13" t="s">
        <v>2170</v>
      </c>
      <c r="AM27" s="15"/>
      <c r="AN27" s="20"/>
      <c r="AO27" s="20"/>
      <c r="AP27" s="20"/>
      <c r="AQ27" s="20"/>
      <c r="AR27" s="20"/>
      <c r="AS27" s="20"/>
      <c r="AT27" s="20"/>
    </row>
    <row r="28" customHeight="1" spans="1:46">
      <c r="A28" s="9" t="s">
        <v>1998</v>
      </c>
      <c r="B28" s="9" t="s">
        <v>1999</v>
      </c>
      <c r="C28" s="9" t="s">
        <v>2000</v>
      </c>
      <c r="D28" s="10" t="s">
        <v>2161</v>
      </c>
      <c r="E28" s="9" t="s">
        <v>2161</v>
      </c>
      <c r="F28" s="9" t="s">
        <v>2002</v>
      </c>
      <c r="G28" s="9" t="s">
        <v>2003</v>
      </c>
      <c r="H28" s="9" t="s">
        <v>2004</v>
      </c>
      <c r="I28" s="11"/>
      <c r="J28" s="11"/>
      <c r="K28" s="11"/>
      <c r="L28" s="11" t="s">
        <v>2005</v>
      </c>
      <c r="M28" s="10" t="s">
        <v>1004</v>
      </c>
      <c r="N28" s="9" t="s">
        <v>2197</v>
      </c>
      <c r="O28" s="9"/>
      <c r="P28" s="9" t="s">
        <v>2162</v>
      </c>
      <c r="Q28" s="9">
        <v>13958522962</v>
      </c>
      <c r="R28" s="11" t="s">
        <v>2163</v>
      </c>
      <c r="S28" s="10" t="s">
        <v>2164</v>
      </c>
      <c r="T28" s="9"/>
      <c r="U28" s="9" t="s">
        <v>2162</v>
      </c>
      <c r="V28" s="9">
        <v>17323618345</v>
      </c>
      <c r="W28" s="10" t="s">
        <v>2165</v>
      </c>
      <c r="X28" s="10" t="s">
        <v>2164</v>
      </c>
      <c r="Y28" s="12" t="s">
        <v>2171</v>
      </c>
      <c r="Z28" s="13" t="s">
        <v>2173</v>
      </c>
      <c r="AA28" s="14" t="s">
        <v>2243</v>
      </c>
      <c r="AB28" s="13" t="s">
        <v>2168</v>
      </c>
      <c r="AC28" s="9" t="s">
        <v>1765</v>
      </c>
      <c r="AD28" s="15"/>
      <c r="AE28" s="16"/>
      <c r="AF28" s="16"/>
      <c r="AG28" s="17"/>
      <c r="AH28" s="18"/>
      <c r="AI28" s="19"/>
      <c r="AJ28" s="19"/>
      <c r="AK28" s="19"/>
      <c r="AL28" s="13" t="s">
        <v>2173</v>
      </c>
      <c r="AM28" s="15"/>
      <c r="AN28" s="20"/>
      <c r="AO28" s="20"/>
      <c r="AP28" s="20"/>
      <c r="AQ28" s="20"/>
      <c r="AR28" s="20"/>
      <c r="AS28" s="20"/>
      <c r="AT28" s="20"/>
    </row>
    <row r="29" customHeight="1" spans="1:46">
      <c r="A29" s="9" t="s">
        <v>1998</v>
      </c>
      <c r="B29" s="9" t="s">
        <v>1999</v>
      </c>
      <c r="C29" s="9" t="s">
        <v>2000</v>
      </c>
      <c r="D29" s="10" t="s">
        <v>2174</v>
      </c>
      <c r="E29" s="9" t="s">
        <v>2174</v>
      </c>
      <c r="F29" s="9" t="s">
        <v>2002</v>
      </c>
      <c r="G29" s="9" t="s">
        <v>2003</v>
      </c>
      <c r="H29" s="9" t="s">
        <v>2004</v>
      </c>
      <c r="I29" s="11"/>
      <c r="J29" s="11"/>
      <c r="K29" s="11"/>
      <c r="L29" s="11" t="s">
        <v>2175</v>
      </c>
      <c r="M29" s="10" t="s">
        <v>2176</v>
      </c>
      <c r="N29" s="9" t="s">
        <v>2197</v>
      </c>
      <c r="O29" s="9"/>
      <c r="P29" s="9" t="s">
        <v>2162</v>
      </c>
      <c r="Q29" s="9">
        <v>13958522962</v>
      </c>
      <c r="R29" s="11" t="s">
        <v>2177</v>
      </c>
      <c r="S29" s="10" t="s">
        <v>2178</v>
      </c>
      <c r="T29" s="9"/>
      <c r="U29" s="9" t="s">
        <v>2162</v>
      </c>
      <c r="V29" s="9">
        <v>15223934345</v>
      </c>
      <c r="W29" s="10" t="s">
        <v>2179</v>
      </c>
      <c r="X29" s="10" t="s">
        <v>2178</v>
      </c>
      <c r="Y29" s="12" t="s">
        <v>2180</v>
      </c>
      <c r="Z29" s="13" t="s">
        <v>2183</v>
      </c>
      <c r="AA29" s="14" t="s">
        <v>2244</v>
      </c>
      <c r="AB29" s="13" t="s">
        <v>2181</v>
      </c>
      <c r="AC29" s="9" t="s">
        <v>2182</v>
      </c>
      <c r="AD29" s="15"/>
      <c r="AE29" s="16"/>
      <c r="AF29" s="16"/>
      <c r="AG29" s="17"/>
      <c r="AH29" s="18"/>
      <c r="AI29" s="19"/>
      <c r="AJ29" s="19"/>
      <c r="AK29" s="19"/>
      <c r="AL29" s="13" t="s">
        <v>2183</v>
      </c>
      <c r="AM29" s="15"/>
      <c r="AN29" s="20"/>
      <c r="AO29" s="20"/>
      <c r="AP29" s="20"/>
      <c r="AQ29" s="20"/>
      <c r="AR29" s="20"/>
      <c r="AS29" s="20"/>
      <c r="AT29" s="20"/>
    </row>
    <row r="30" customHeight="1" spans="1:46">
      <c r="A30" s="9" t="s">
        <v>1998</v>
      </c>
      <c r="B30" s="9" t="s">
        <v>1999</v>
      </c>
      <c r="C30" s="9" t="s">
        <v>2000</v>
      </c>
      <c r="D30" s="10" t="s">
        <v>2174</v>
      </c>
      <c r="E30" s="9" t="s">
        <v>2174</v>
      </c>
      <c r="F30" s="9" t="s">
        <v>2002</v>
      </c>
      <c r="G30" s="9" t="s">
        <v>2003</v>
      </c>
      <c r="H30" s="9" t="s">
        <v>2004</v>
      </c>
      <c r="I30" s="11"/>
      <c r="J30" s="11"/>
      <c r="K30" s="11"/>
      <c r="L30" s="11" t="s">
        <v>2005</v>
      </c>
      <c r="M30" s="10" t="s">
        <v>1004</v>
      </c>
      <c r="N30" s="9" t="s">
        <v>2197</v>
      </c>
      <c r="O30" s="9"/>
      <c r="P30" s="9" t="s">
        <v>2162</v>
      </c>
      <c r="Q30" s="9">
        <v>13958522962</v>
      </c>
      <c r="R30" s="11" t="s">
        <v>2184</v>
      </c>
      <c r="S30" s="10" t="s">
        <v>2185</v>
      </c>
      <c r="T30" s="9"/>
      <c r="U30" s="9" t="s">
        <v>2186</v>
      </c>
      <c r="V30" s="9">
        <v>15223934345</v>
      </c>
      <c r="W30" s="10" t="s">
        <v>2187</v>
      </c>
      <c r="X30" s="10" t="s">
        <v>2185</v>
      </c>
      <c r="Y30" s="12" t="s">
        <v>2188</v>
      </c>
      <c r="Z30" s="13" t="s">
        <v>2183</v>
      </c>
      <c r="AA30" s="14" t="s">
        <v>2245</v>
      </c>
      <c r="AB30" s="13" t="s">
        <v>2189</v>
      </c>
      <c r="AC30" s="9" t="s">
        <v>2152</v>
      </c>
      <c r="AD30" s="15"/>
      <c r="AE30" s="16"/>
      <c r="AF30" s="16"/>
      <c r="AG30" s="17"/>
      <c r="AH30" s="18"/>
      <c r="AI30" s="19"/>
      <c r="AJ30" s="19"/>
      <c r="AK30" s="19"/>
      <c r="AL30" s="13" t="s">
        <v>2183</v>
      </c>
      <c r="AM30" s="15"/>
      <c r="AN30" s="20"/>
      <c r="AO30" s="20"/>
      <c r="AP30" s="20"/>
      <c r="AQ30" s="20"/>
      <c r="AR30" s="20"/>
      <c r="AS30" s="20"/>
      <c r="AT30" s="20"/>
    </row>
    <row r="31" customHeight="1" spans="1:46">
      <c r="A31" s="9" t="s">
        <v>1998</v>
      </c>
      <c r="B31" s="9" t="s">
        <v>1999</v>
      </c>
      <c r="C31" s="9" t="s">
        <v>2000</v>
      </c>
      <c r="D31" s="10" t="s">
        <v>2174</v>
      </c>
      <c r="E31" s="9" t="s">
        <v>2174</v>
      </c>
      <c r="F31" s="9" t="s">
        <v>2002</v>
      </c>
      <c r="G31" s="9" t="s">
        <v>2003</v>
      </c>
      <c r="H31" s="9" t="s">
        <v>2004</v>
      </c>
      <c r="I31" s="11"/>
      <c r="J31" s="11"/>
      <c r="K31" s="11"/>
      <c r="L31" s="11" t="s">
        <v>2005</v>
      </c>
      <c r="M31" s="10" t="s">
        <v>1004</v>
      </c>
      <c r="N31" s="9" t="s">
        <v>2197</v>
      </c>
      <c r="O31" s="9"/>
      <c r="P31" s="9" t="s">
        <v>2162</v>
      </c>
      <c r="Q31" s="9">
        <v>13958522962</v>
      </c>
      <c r="R31" s="11" t="s">
        <v>2190</v>
      </c>
      <c r="S31" s="10" t="s">
        <v>2191</v>
      </c>
      <c r="T31" s="9"/>
      <c r="U31" s="9" t="s">
        <v>2186</v>
      </c>
      <c r="V31" s="9">
        <v>15223934345</v>
      </c>
      <c r="W31" s="10" t="s">
        <v>2192</v>
      </c>
      <c r="X31" s="10" t="s">
        <v>2191</v>
      </c>
      <c r="Y31" s="12" t="s">
        <v>2193</v>
      </c>
      <c r="Z31" s="13" t="s">
        <v>2183</v>
      </c>
      <c r="AA31" s="14" t="s">
        <v>2246</v>
      </c>
      <c r="AB31" s="13" t="s">
        <v>2194</v>
      </c>
      <c r="AC31" s="9" t="s">
        <v>2195</v>
      </c>
      <c r="AD31" s="15"/>
      <c r="AE31" s="16"/>
      <c r="AF31" s="16"/>
      <c r="AG31" s="17"/>
      <c r="AH31" s="18"/>
      <c r="AI31" s="19"/>
      <c r="AJ31" s="19"/>
      <c r="AK31" s="19"/>
      <c r="AL31" s="13" t="s">
        <v>2183</v>
      </c>
      <c r="AM31" s="15"/>
      <c r="AN31" s="20"/>
      <c r="AO31" s="20"/>
      <c r="AP31" s="20"/>
      <c r="AQ31" s="20"/>
      <c r="AR31" s="20"/>
      <c r="AS31" s="20"/>
      <c r="AT31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农业资产盘点明细</vt:lpstr>
      <vt:lpstr> 土地盘点表</vt:lpstr>
      <vt:lpstr> 重庆酉阳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Y.T.孙怡婷</cp:lastModifiedBy>
  <dcterms:created xsi:type="dcterms:W3CDTF">2026-06-02T22:42:00Z</dcterms:created>
  <dcterms:modified xsi:type="dcterms:W3CDTF">2026-06-03T14:09:05Z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F94C88E0A15B9E5201C51F6AAC60B74F_42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